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vinmateo/Desktop/retail-sales-inventory-command-center/excel/"/>
    </mc:Choice>
  </mc:AlternateContent>
  <xr:revisionPtr revIDLastSave="0" documentId="8_{5A2F5FF1-809F-4448-93E2-220BE456C305}" xr6:coauthVersionLast="47" xr6:coauthVersionMax="47" xr10:uidLastSave="{00000000-0000-0000-0000-000000000000}"/>
  <bookViews>
    <workbookView xWindow="1080" yWindow="900" windowWidth="28040" windowHeight="17180" activeTab="1" xr2:uid="{119CAB17-CA35-7947-84B5-C037B4C607C3}"/>
  </bookViews>
  <sheets>
    <sheet name="store_clean" sheetId="3" r:id="rId1"/>
    <sheet name="store_type_summary" sheetId="4" r:id="rId2"/>
    <sheet name="store_performance" sheetId="2" r:id="rId3"/>
  </sheets>
  <definedNames>
    <definedName name="ExternalData_1" localSheetId="2" hidden="1">store_performance!$A$1:$C$1116</definedName>
    <definedName name="ExternalData_2" localSheetId="0" hidden="1">store_clean!$A$1:$J$1116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CAAD2-A190-0045-8BA7-EEA878BF5853}" keepAlive="1" name="Query - store_clean" description="Connection to the 'store_clean' query in the workbook." type="5" refreshedVersion="8" background="1" saveData="1">
    <dbPr connection="Provider=Microsoft.Mashup.OleDb.1;Data Source=$Workbook$;Location=store_clean;Extended Properties=&quot;&quot;" command="SELECT * FROM [store_clean]"/>
  </connection>
  <connection id="2" xr16:uid="{AA5FAD75-44CD-BF46-B65A-DCC932B0DD0A}" keepAlive="1" name="Query - store_performance" description="Connection to the 'store_performance' query in the workbook." type="5" refreshedVersion="8" background="1" saveData="1">
    <dbPr connection="Provider=Microsoft.Mashup.OleDb.1;Data Source=$Workbook$;Location=store_performance;Extended Properties=&quot;&quot;" command="SELECT * FROM [store_performance]"/>
  </connection>
</connections>
</file>

<file path=xl/sharedStrings.xml><?xml version="1.0" encoding="utf-8"?>
<sst xmlns="http://schemas.openxmlformats.org/spreadsheetml/2006/main" count="3367" uniqueCount="24">
  <si>
    <t>Store</t>
  </si>
  <si>
    <t>AverageSales</t>
  </si>
  <si>
    <t>AverageCustomers</t>
  </si>
  <si>
    <t>SalesPerCustomer</t>
  </si>
  <si>
    <t>StoreType</t>
  </si>
  <si>
    <t>Assortment</t>
  </si>
  <si>
    <t>CompetitionDistance</t>
  </si>
  <si>
    <t>CompetitionOpenSinceMonth</t>
  </si>
  <si>
    <t>CompetitionOpenSinceYear</t>
  </si>
  <si>
    <t>Promo2</t>
  </si>
  <si>
    <t>Promo2SinceWeek</t>
  </si>
  <si>
    <t>Promo2SinceYear</t>
  </si>
  <si>
    <t>PromoInterval</t>
  </si>
  <si>
    <t>c</t>
  </si>
  <si>
    <t>a</t>
  </si>
  <si>
    <t>None</t>
  </si>
  <si>
    <t>Jan,Apr,Jul,Oct</t>
  </si>
  <si>
    <t>d</t>
  </si>
  <si>
    <t>Feb,May,Aug,Nov</t>
  </si>
  <si>
    <t>Mar,Jun,Sept,Dec</t>
  </si>
  <si>
    <t>b</t>
  </si>
  <si>
    <t>Row Labels</t>
  </si>
  <si>
    <t>Grand Total</t>
  </si>
  <si>
    <t>Average of AverageSales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</si>
</sst>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[retail_sales_analysis.xlsx]store_type_summary!PivotTable1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Sales by Store Type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store_type_summary!$B$3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store_type_summary!$A$4:$A$8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store_type_summary!$B$4:$B$8</c:f>
              <c:numCache>
                <c:formatCode>_(* #,##0.00_);_(* \(#,##0.00\);_(* "-"??_);_(@_)</c:formatCode>
                <c:ptCount val="4"/>
                <c:pt idx="0">
                  <c:v>6912.5429545177949</c:v>
                </c:pt>
                <c:pt idx="1">
                  <c:v>10110.779605453787</c:v>
                </c:pt>
                <c:pt idx="2">
                  <c:v>6917.1992665424796</c:v>
                </c:pt>
                <c:pt idx="3">
                  <c:v>6823.7437268639396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5-3543-9C1D-7B2D7D0DE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515903"/>
        <c:axId val="841516799"/>
      </c:barChart>
      <c:catAx>
        <c:axId val="84151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1516799"/>
        <c:crosses val="autoZero"/>
        <c:auto val="1"/>
        <c:lblAlgn val="ctr"/>
        <c:lblOffset val="100"/>
        <c:noMultiLvlLbl val="0"/>
      </c:catAx>
      <c:valAx>
        <c:axId val="84151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151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1917700</xdr:colOff>
      <xdr:row>11</xdr:row>
      <xdr:rowOff>114300</xdr:rowOff>
    </xdr:from>
    <xdr:to>
      <xdr:col>8</xdr:col>
      <xdr:colOff>330200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6DF01-CDB7-0663-AD20-38666BB49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vin Mateo" refreshedDate="46274.450862962964" createdVersion="8" refreshedVersion="8" minRefreshableVersion="3" recordCount="1115" xr:uid="{281517B6-9726-5942-98A2-EB64AF074CF7}">
  <cacheSource type="worksheet">
    <worksheetSource name="store_performance"/>
  </cacheSource>
  <cacheFields count="5">
    <cacheField name="Store" numFmtId="0">
      <sharedItems containsSemiMixedTypes="0" containsString="0" containsNumber="1" containsInteger="1" minValue="1" maxValue="1115"/>
    </cacheField>
    <cacheField name="AverageSales" numFmtId="43">
      <sharedItems containsSemiMixedTypes="0" containsString="0" containsNumber="1" minValue="2703.7365728900254" maxValue="21757.483418367348"/>
    </cacheField>
    <cacheField name="AverageCustomers" numFmtId="43">
      <sharedItems containsSemiMixedTypes="0" containsString="0" containsNumber="1" minValue="240.18309859154928" maxValue="3403.4585987261148"/>
    </cacheField>
    <cacheField name="SalesPerCustomer" numFmtId="0">
      <sharedItems containsSemiMixedTypes="0" containsString="0" containsNumber="1" minValue="3.51" maxValue="16.16"/>
    </cacheField>
    <cacheField name="StoreType" numFmtId="0">
      <sharedItems count="4">
        <s v="c"/>
        <s v="a"/>
        <s v="d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">
  <r>
    <n v="1"/>
    <n v="4759.0960307298337"/>
    <n v="564.04993597951341"/>
    <n v="8.44"/>
    <x v="0"/>
  </r>
  <r>
    <n v="2"/>
    <n v="4953.9005102040819"/>
    <n v="583.9987244897959"/>
    <n v="8.48"/>
    <x v="1"/>
  </r>
  <r>
    <n v="3"/>
    <n v="6942.5686777920409"/>
    <n v="750.07702182284982"/>
    <n v="9.26"/>
    <x v="1"/>
  </r>
  <r>
    <n v="4"/>
    <n v="9638.4017857142862"/>
    <n v="1321.7525510204082"/>
    <n v="7.29"/>
    <x v="0"/>
  </r>
  <r>
    <n v="5"/>
    <n v="4676.2747111681647"/>
    <n v="537.34017971758669"/>
    <n v="8.6999999999999993"/>
    <x v="1"/>
  </r>
  <r>
    <n v="6"/>
    <n v="5509.9461538461537"/>
    <n v="635.23461538461538"/>
    <n v="8.67"/>
    <x v="1"/>
  </r>
  <r>
    <n v="7"/>
    <n v="8817.0508905852421"/>
    <n v="948.56106870229007"/>
    <n v="9.3000000000000007"/>
    <x v="1"/>
  </r>
  <r>
    <n v="8"/>
    <n v="5539.3584183673465"/>
    <n v="658.19770408163265"/>
    <n v="8.42"/>
    <x v="1"/>
  </r>
  <r>
    <n v="9"/>
    <n v="6562.3376123234921"/>
    <n v="579.8164313222079"/>
    <n v="11.32"/>
    <x v="1"/>
  </r>
  <r>
    <n v="10"/>
    <n v="5568.4209183673465"/>
    <n v="593.95535714285711"/>
    <n v="9.3800000000000008"/>
    <x v="1"/>
  </r>
  <r>
    <n v="11"/>
    <n v="8030.9770408163267"/>
    <n v="1130.091836734694"/>
    <n v="7.11"/>
    <x v="1"/>
  </r>
  <r>
    <n v="12"/>
    <n v="7589.5982142857147"/>
    <n v="896.95280612244903"/>
    <n v="8.4600000000000009"/>
    <x v="1"/>
  </r>
  <r>
    <n v="13"/>
    <n v="5034.7471819645734"/>
    <n v="382.83413848631238"/>
    <n v="13.15"/>
    <x v="2"/>
  </r>
  <r>
    <n v="14"/>
    <n v="5508.5673940949937"/>
    <n v="631.46726572528883"/>
    <n v="8.7200000000000006"/>
    <x v="1"/>
  </r>
  <r>
    <n v="15"/>
    <n v="6672.8443877551017"/>
    <n v="663.40178571428567"/>
    <n v="10.06"/>
    <x v="2"/>
  </r>
  <r>
    <n v="16"/>
    <n v="7680.6833976833977"/>
    <n v="852.47747747747746"/>
    <n v="9.01"/>
    <x v="1"/>
  </r>
  <r>
    <n v="17"/>
    <n v="6335.6624040920715"/>
    <n v="791.67519181585681"/>
    <n v="8"/>
    <x v="1"/>
  </r>
  <r>
    <n v="18"/>
    <n v="6560.2774936061378"/>
    <n v="713.28005115089513"/>
    <n v="9.1999999999999993"/>
    <x v="2"/>
  </r>
  <r>
    <n v="19"/>
    <n v="6464.9152759948656"/>
    <n v="624.67008985879329"/>
    <n v="10.35"/>
    <x v="1"/>
  </r>
  <r>
    <n v="20"/>
    <n v="7756.9353796445885"/>
    <n v="848.55896607431339"/>
    <n v="9.14"/>
    <x v="2"/>
  </r>
  <r>
    <n v="21"/>
    <n v="5482.3204633204632"/>
    <n v="516.36164736164733"/>
    <n v="10.62"/>
    <x v="0"/>
  </r>
  <r>
    <n v="22"/>
    <n v="4525.8578352180939"/>
    <n v="504.2471728594507"/>
    <n v="8.98"/>
    <x v="1"/>
  </r>
  <r>
    <n v="23"/>
    <n v="5520.2811296534019"/>
    <n v="482.43645699614893"/>
    <n v="11.44"/>
    <x v="2"/>
  </r>
  <r>
    <n v="24"/>
    <n v="9388.2862644415909"/>
    <n v="835.43003851091146"/>
    <n v="11.24"/>
    <x v="1"/>
  </r>
  <r>
    <n v="25"/>
    <n v="11139.038563829787"/>
    <n v="1566.186170212766"/>
    <n v="7.11"/>
    <x v="0"/>
  </r>
  <r>
    <n v="26"/>
    <n v="6671.695652173913"/>
    <n v="556.07289002557548"/>
    <n v="12"/>
    <x v="2"/>
  </r>
  <r>
    <n v="27"/>
    <n v="9478.5738125802309"/>
    <n v="1074.7586649550706"/>
    <n v="8.82"/>
    <x v="1"/>
  </r>
  <r>
    <n v="28"/>
    <n v="5293.0609597924777"/>
    <n v="581.31776913099873"/>
    <n v="9.11"/>
    <x v="1"/>
  </r>
  <r>
    <n v="29"/>
    <n v="7364.7753530166883"/>
    <n v="653.70089858793324"/>
    <n v="11.27"/>
    <x v="2"/>
  </r>
  <r>
    <n v="30"/>
    <n v="5294.7824967824972"/>
    <n v="777.12741312741309"/>
    <n v="6.81"/>
    <x v="1"/>
  </r>
  <r>
    <n v="31"/>
    <n v="5862.4272959183672"/>
    <n v="586.05102040816325"/>
    <n v="10"/>
    <x v="2"/>
  </r>
  <r>
    <n v="32"/>
    <n v="4067.8212560386473"/>
    <n v="477.1867954911433"/>
    <n v="8.52"/>
    <x v="1"/>
  </r>
  <r>
    <n v="33"/>
    <n v="8436.6598202824134"/>
    <n v="836.30937098844674"/>
    <n v="10.09"/>
    <x v="1"/>
  </r>
  <r>
    <n v="34"/>
    <n v="8031.4859693877552"/>
    <n v="993.4591836734694"/>
    <n v="8.08"/>
    <x v="0"/>
  </r>
  <r>
    <n v="35"/>
    <n v="9703.0718870346591"/>
    <n v="729.65468549422337"/>
    <n v="13.3"/>
    <x v="2"/>
  </r>
  <r>
    <n v="36"/>
    <n v="9363.6382636655944"/>
    <n v="1090.3183279742766"/>
    <n v="8.59"/>
    <x v="1"/>
  </r>
  <r>
    <n v="37"/>
    <n v="7114.1705128205131"/>
    <n v="781.09102564102568"/>
    <n v="9.11"/>
    <x v="0"/>
  </r>
  <r>
    <n v="38"/>
    <n v="6004.6431322207955"/>
    <n v="535.34531450577663"/>
    <n v="11.22"/>
    <x v="2"/>
  </r>
  <r>
    <n v="39"/>
    <n v="4852.5712451861364"/>
    <n v="629.61617458279841"/>
    <n v="7.71"/>
    <x v="1"/>
  </r>
  <r>
    <n v="40"/>
    <n v="4902.3389175257735"/>
    <n v="663.82087628865975"/>
    <n v="7.39"/>
    <x v="1"/>
  </r>
  <r>
    <n v="41"/>
    <n v="5335.0594855305462"/>
    <n v="397.95980707395501"/>
    <n v="13.41"/>
    <x v="2"/>
  </r>
  <r>
    <n v="42"/>
    <n v="10178.136071887035"/>
    <n v="1100.0487804878048"/>
    <n v="9.25"/>
    <x v="1"/>
  </r>
  <r>
    <n v="43"/>
    <n v="6822.9139922978175"/>
    <n v="610.15917843388956"/>
    <n v="11.18"/>
    <x v="2"/>
  </r>
  <r>
    <n v="44"/>
    <n v="5478.5"/>
    <n v="640.05867346938771"/>
    <n v="8.56"/>
    <x v="1"/>
  </r>
  <r>
    <n v="45"/>
    <n v="5348.469833119384"/>
    <n v="415.38125802310657"/>
    <n v="12.88"/>
    <x v="2"/>
  </r>
  <r>
    <n v="46"/>
    <n v="5352.2909967845662"/>
    <n v="660.50160771704179"/>
    <n v="8.1"/>
    <x v="0"/>
  </r>
  <r>
    <n v="47"/>
    <n v="7145.1020408163267"/>
    <n v="920.65051020408168"/>
    <n v="7.76"/>
    <x v="1"/>
  </r>
  <r>
    <n v="48"/>
    <n v="3934.966836734694"/>
    <n v="429.23341836734693"/>
    <n v="9.17"/>
    <x v="1"/>
  </r>
  <r>
    <n v="49"/>
    <n v="7304.1132561132563"/>
    <n v="531.70785070785075"/>
    <n v="13.74"/>
    <x v="2"/>
  </r>
  <r>
    <n v="50"/>
    <n v="4256.0706033376127"/>
    <n v="358.7997432605905"/>
    <n v="11.86"/>
    <x v="2"/>
  </r>
  <r>
    <n v="51"/>
    <n v="6675.2861736334407"/>
    <n v="496.9871382636656"/>
    <n v="13.43"/>
    <x v="1"/>
  </r>
  <r>
    <n v="52"/>
    <n v="7407.9453376205784"/>
    <n v="503.49839228295821"/>
    <n v="14.71"/>
    <x v="2"/>
  </r>
  <r>
    <n v="53"/>
    <n v="5264.8073979591836"/>
    <n v="566.7091836734694"/>
    <n v="9.2899999999999991"/>
    <x v="1"/>
  </r>
  <r>
    <n v="54"/>
    <n v="7907.5388535031843"/>
    <n v="730.47898089171974"/>
    <n v="10.83"/>
    <x v="2"/>
  </r>
  <r>
    <n v="55"/>
    <n v="4598.9897435897437"/>
    <n v="558.96410256410252"/>
    <n v="8.23"/>
    <x v="1"/>
  </r>
  <r>
    <n v="56"/>
    <n v="7321.7541613316262"/>
    <n v="506.93854033290654"/>
    <n v="14.44"/>
    <x v="2"/>
  </r>
  <r>
    <n v="57"/>
    <n v="10591.731168831169"/>
    <n v="988.52077922077922"/>
    <n v="10.71"/>
    <x v="2"/>
  </r>
  <r>
    <n v="58"/>
    <n v="6336.1589085072228"/>
    <n v="513.14767255216691"/>
    <n v="12.35"/>
    <x v="1"/>
  </r>
  <r>
    <n v="59"/>
    <n v="5501.3120204603583"/>
    <n v="564.01534526854221"/>
    <n v="9.75"/>
    <x v="1"/>
  </r>
  <r>
    <n v="60"/>
    <n v="8033.0871794871791"/>
    <n v="713.47307692307697"/>
    <n v="11.26"/>
    <x v="2"/>
  </r>
  <r>
    <n v="61"/>
    <n v="4722.0051480051479"/>
    <n v="571.73873873873879"/>
    <n v="8.26"/>
    <x v="1"/>
  </r>
  <r>
    <n v="62"/>
    <n v="6503.8664955070599"/>
    <n v="717.98331193838249"/>
    <n v="9.06"/>
    <x v="1"/>
  </r>
  <r>
    <n v="63"/>
    <n v="6956.3877551020405"/>
    <n v="638.85204081632651"/>
    <n v="10.89"/>
    <x v="0"/>
  </r>
  <r>
    <n v="64"/>
    <n v="10359.525032092426"/>
    <n v="792.85365853658539"/>
    <n v="13.07"/>
    <x v="2"/>
  </r>
  <r>
    <n v="65"/>
    <n v="5112.8948717948715"/>
    <n v="455.9"/>
    <n v="11.21"/>
    <x v="1"/>
  </r>
  <r>
    <n v="66"/>
    <n v="6114.3603603603606"/>
    <n v="524.05662805662803"/>
    <n v="11.67"/>
    <x v="2"/>
  </r>
  <r>
    <n v="67"/>
    <n v="7828.930501930502"/>
    <n v="798.32303732303728"/>
    <n v="9.81"/>
    <x v="1"/>
  </r>
  <r>
    <n v="68"/>
    <n v="7563.2525510204077"/>
    <n v="1151.954081632653"/>
    <n v="6.57"/>
    <x v="1"/>
  </r>
  <r>
    <n v="69"/>
    <n v="9426.4519846350831"/>
    <n v="1183.6632522407169"/>
    <n v="7.96"/>
    <x v="0"/>
  </r>
  <r>
    <n v="70"/>
    <n v="6608.0281329923273"/>
    <n v="679.09718670076722"/>
    <n v="9.73"/>
    <x v="0"/>
  </r>
  <r>
    <n v="71"/>
    <n v="9061.0975609756097"/>
    <n v="746.92041078305522"/>
    <n v="12.13"/>
    <x v="1"/>
  </r>
  <r>
    <n v="72"/>
    <n v="4420.0256821829853"/>
    <n v="474.86035313001605"/>
    <n v="9.31"/>
    <x v="1"/>
  </r>
  <r>
    <n v="73"/>
    <n v="4576.9783163265311"/>
    <n v="494.13520408163265"/>
    <n v="9.26"/>
    <x v="1"/>
  </r>
  <r>
    <n v="74"/>
    <n v="6256.6301546391751"/>
    <n v="854.22293814432987"/>
    <n v="7.32"/>
    <x v="1"/>
  </r>
  <r>
    <n v="75"/>
    <n v="6023.4540816326535"/>
    <n v="642.14030612244903"/>
    <n v="9.3800000000000008"/>
    <x v="2"/>
  </r>
  <r>
    <n v="76"/>
    <n v="8999.5473515248796"/>
    <n v="928.09630818619587"/>
    <n v="9.6999999999999993"/>
    <x v="2"/>
  </r>
  <r>
    <n v="77"/>
    <n v="7621.4891165172858"/>
    <n v="662.83354673495523"/>
    <n v="11.5"/>
    <x v="2"/>
  </r>
  <r>
    <n v="78"/>
    <n v="3717.4730769230769"/>
    <n v="494.85897435897436"/>
    <n v="7.51"/>
    <x v="1"/>
  </r>
  <r>
    <n v="79"/>
    <n v="5474.2406692406694"/>
    <n v="560.48777348777344"/>
    <n v="9.77"/>
    <x v="1"/>
  </r>
  <r>
    <n v="80"/>
    <n v="7616.2734274711165"/>
    <n v="577.74582798459562"/>
    <n v="13.18"/>
    <x v="2"/>
  </r>
  <r>
    <n v="81"/>
    <n v="6985.6881028938906"/>
    <n v="561.49839228295821"/>
    <n v="12.44"/>
    <x v="1"/>
  </r>
  <r>
    <n v="82"/>
    <n v="9019.6534017971753"/>
    <n v="838.55969191270856"/>
    <n v="10.76"/>
    <x v="1"/>
  </r>
  <r>
    <n v="83"/>
    <n v="3887.7060333761233"/>
    <n v="345.83953786906289"/>
    <n v="11.24"/>
    <x v="1"/>
  </r>
  <r>
    <n v="84"/>
    <n v="12955.997432605905"/>
    <n v="1392.3106546854942"/>
    <n v="9.31"/>
    <x v="1"/>
  </r>
  <r>
    <n v="85"/>
    <n v="7272.454352441614"/>
    <n v="1015.4012738853503"/>
    <n v="7.16"/>
    <x v="3"/>
  </r>
  <r>
    <n v="86"/>
    <n v="4695.0218508997432"/>
    <n v="604.96015424164523"/>
    <n v="7.76"/>
    <x v="1"/>
  </r>
  <r>
    <n v="87"/>
    <n v="5865.1619897959181"/>
    <n v="737.44770408163265"/>
    <n v="7.95"/>
    <x v="1"/>
  </r>
  <r>
    <n v="88"/>
    <n v="6024.4333333333334"/>
    <n v="613.49102564102566"/>
    <n v="9.82"/>
    <x v="1"/>
  </r>
  <r>
    <n v="89"/>
    <n v="5971.3392282958202"/>
    <n v="624.17524115755623"/>
    <n v="9.57"/>
    <x v="1"/>
  </r>
  <r>
    <n v="90"/>
    <n v="8416.7686375321337"/>
    <n v="1057.0604113110539"/>
    <n v="7.96"/>
    <x v="1"/>
  </r>
  <r>
    <n v="91"/>
    <n v="5559.0025706940878"/>
    <n v="613.9305912596401"/>
    <n v="9.0500000000000007"/>
    <x v="0"/>
  </r>
  <r>
    <n v="92"/>
    <n v="5996.6842105263158"/>
    <n v="547.05776636713733"/>
    <n v="10.96"/>
    <x v="0"/>
  </r>
  <r>
    <n v="93"/>
    <n v="5965.1758664955069"/>
    <n v="603.55455712451862"/>
    <n v="9.8800000000000008"/>
    <x v="1"/>
  </r>
  <r>
    <n v="94"/>
    <n v="7121.14377406932"/>
    <n v="640.14377406931965"/>
    <n v="11.12"/>
    <x v="2"/>
  </r>
  <r>
    <n v="95"/>
    <n v="7638.54358974359"/>
    <n v="843.71923076923076"/>
    <n v="9.0500000000000007"/>
    <x v="1"/>
  </r>
  <r>
    <n v="96"/>
    <n v="5176.8884615384613"/>
    <n v="542.77435897435896"/>
    <n v="9.5399999999999991"/>
    <x v="1"/>
  </r>
  <r>
    <n v="97"/>
    <n v="6703.3961538461535"/>
    <n v="688.83076923076919"/>
    <n v="9.73"/>
    <x v="2"/>
  </r>
  <r>
    <n v="98"/>
    <n v="5109.8639281129654"/>
    <n v="451.58536585365852"/>
    <n v="11.32"/>
    <x v="2"/>
  </r>
  <r>
    <n v="99"/>
    <n v="5130.5209003215432"/>
    <n v="465.52090032154342"/>
    <n v="11.02"/>
    <x v="0"/>
  </r>
  <r>
    <n v="100"/>
    <n v="7964.4125412541252"/>
    <n v="686.21947194719473"/>
    <n v="11.61"/>
    <x v="2"/>
  </r>
  <r>
    <n v="101"/>
    <n v="7469.8775510204077"/>
    <n v="777.15561224489795"/>
    <n v="9.61"/>
    <x v="2"/>
  </r>
  <r>
    <n v="102"/>
    <n v="7061.1621271076529"/>
    <n v="1048.9857328145265"/>
    <n v="6.73"/>
    <x v="1"/>
  </r>
  <r>
    <n v="103"/>
    <n v="4689.4976228209189"/>
    <n v="421.61648177496039"/>
    <n v="11.12"/>
    <x v="2"/>
  </r>
  <r>
    <n v="104"/>
    <n v="10126.536989795919"/>
    <n v="1312.3775510204082"/>
    <n v="7.72"/>
    <x v="1"/>
  </r>
  <r>
    <n v="105"/>
    <n v="4441.3673740053055"/>
    <n v="515.04907161803715"/>
    <n v="8.6199999999999992"/>
    <x v="1"/>
  </r>
  <r>
    <n v="106"/>
    <n v="8668.8193548387098"/>
    <n v="825.64774193548385"/>
    <n v="10.5"/>
    <x v="1"/>
  </r>
  <r>
    <n v="107"/>
    <n v="7336.5892857142853"/>
    <n v="955.3112244897959"/>
    <n v="7.68"/>
    <x v="1"/>
  </r>
  <r>
    <n v="108"/>
    <n v="11035.360128617363"/>
    <n v="848.78135048231513"/>
    <n v="13"/>
    <x v="2"/>
  </r>
  <r>
    <n v="109"/>
    <n v="6464.3239795918371"/>
    <n v="742.3762755102041"/>
    <n v="8.7100000000000009"/>
    <x v="1"/>
  </r>
  <r>
    <n v="110"/>
    <n v="4534.4298469387759"/>
    <n v="587.4387755102041"/>
    <n v="7.72"/>
    <x v="1"/>
  </r>
  <r>
    <n v="111"/>
    <n v="6771.7451984635081"/>
    <n v="597.67477592829709"/>
    <n v="11.33"/>
    <x v="2"/>
  </r>
  <r>
    <n v="112"/>
    <n v="6229.4489795918371"/>
    <n v="775.99362244897964"/>
    <n v="8.0299999999999994"/>
    <x v="1"/>
  </r>
  <r>
    <n v="113"/>
    <n v="7199.0771704180061"/>
    <n v="699.31350482315111"/>
    <n v="10.29"/>
    <x v="2"/>
  </r>
  <r>
    <n v="114"/>
    <n v="5346.5599489795923"/>
    <n v="608.125"/>
    <n v="8.7899999999999991"/>
    <x v="0"/>
  </r>
  <r>
    <n v="115"/>
    <n v="7371.6897106109327"/>
    <n v="552.04501607717043"/>
    <n v="13.35"/>
    <x v="2"/>
  </r>
  <r>
    <n v="116"/>
    <n v="7294.5453384418897"/>
    <n v="758.24776500638575"/>
    <n v="9.6199999999999992"/>
    <x v="1"/>
  </r>
  <r>
    <n v="117"/>
    <n v="3881.9563543003851"/>
    <n v="492.06546854942235"/>
    <n v="7.89"/>
    <x v="1"/>
  </r>
  <r>
    <n v="118"/>
    <n v="7781.6061381074169"/>
    <n v="675.54603580562662"/>
    <n v="11.52"/>
    <x v="2"/>
  </r>
  <r>
    <n v="119"/>
    <n v="6005.0854591836733"/>
    <n v="664.96428571428567"/>
    <n v="9.0299999999999994"/>
    <x v="1"/>
  </r>
  <r>
    <n v="120"/>
    <n v="7110.1024327784889"/>
    <n v="638.19590268886043"/>
    <n v="11.14"/>
    <x v="2"/>
  </r>
  <r>
    <n v="121"/>
    <n v="4453.1717948717951"/>
    <n v="504.11282051282052"/>
    <n v="8.83"/>
    <x v="1"/>
  </r>
  <r>
    <n v="122"/>
    <n v="6462.0146892655366"/>
    <n v="793.78079096045201"/>
    <n v="8.14"/>
    <x v="1"/>
  </r>
  <r>
    <n v="123"/>
    <n v="8399.2044270833339"/>
    <n v="959.77734375"/>
    <n v="8.75"/>
    <x v="1"/>
  </r>
  <r>
    <n v="124"/>
    <n v="4424.1463414634145"/>
    <n v="525.68292682926824"/>
    <n v="8.42"/>
    <x v="1"/>
  </r>
  <r>
    <n v="125"/>
    <n v="11836.848214285714"/>
    <n v="1573.9413265306123"/>
    <n v="7.52"/>
    <x v="1"/>
  </r>
  <r>
    <n v="126"/>
    <n v="6507.7535301668804"/>
    <n v="543.81258023106545"/>
    <n v="11.97"/>
    <x v="2"/>
  </r>
  <r>
    <n v="127"/>
    <n v="5238.1540930979136"/>
    <n v="659.74799357945426"/>
    <n v="7.94"/>
    <x v="2"/>
  </r>
  <r>
    <n v="128"/>
    <n v="7454.6722151088352"/>
    <n v="594.68245838668372"/>
    <n v="12.54"/>
    <x v="2"/>
  </r>
  <r>
    <n v="129"/>
    <n v="9208.1205787781346"/>
    <n v="1165.4630225080386"/>
    <n v="7.9"/>
    <x v="1"/>
  </r>
  <r>
    <n v="130"/>
    <n v="5121.0627400768244"/>
    <n v="573.74519846350836"/>
    <n v="8.93"/>
    <x v="0"/>
  </r>
  <r>
    <n v="131"/>
    <n v="5275.4043645699612"/>
    <n v="558.89730423620028"/>
    <n v="9.44"/>
    <x v="0"/>
  </r>
  <r>
    <n v="132"/>
    <n v="6283.2556270096466"/>
    <n v="582.40514469453376"/>
    <n v="10.79"/>
    <x v="2"/>
  </r>
  <r>
    <n v="133"/>
    <n v="6467.7595907928389"/>
    <n v="758.8273657289003"/>
    <n v="8.52"/>
    <x v="1"/>
  </r>
  <r>
    <n v="134"/>
    <n v="4725.8915816326535"/>
    <n v="494.59693877551018"/>
    <n v="9.56"/>
    <x v="1"/>
  </r>
  <r>
    <n v="135"/>
    <n v="5952.4161331626119"/>
    <n v="539.78104993597947"/>
    <n v="11.03"/>
    <x v="2"/>
  </r>
  <r>
    <n v="136"/>
    <n v="5488.8183279742761"/>
    <n v="423.98070739549837"/>
    <n v="12.95"/>
    <x v="1"/>
  </r>
  <r>
    <n v="137"/>
    <n v="8274.9823151125402"/>
    <n v="957.28135048231513"/>
    <n v="8.64"/>
    <x v="1"/>
  </r>
  <r>
    <n v="138"/>
    <n v="7334.917948717949"/>
    <n v="714.44358974358977"/>
    <n v="10.27"/>
    <x v="1"/>
  </r>
  <r>
    <n v="139"/>
    <n v="6464.1495176848875"/>
    <n v="513.8151125401929"/>
    <n v="12.58"/>
    <x v="1"/>
  </r>
  <r>
    <n v="140"/>
    <n v="7469.0499359795131"/>
    <n v="963.61203585147246"/>
    <n v="7.75"/>
    <x v="1"/>
  </r>
  <r>
    <n v="141"/>
    <n v="5540.7413127413129"/>
    <n v="611.8983268983269"/>
    <n v="9.06"/>
    <x v="0"/>
  </r>
  <r>
    <n v="142"/>
    <n v="4603.9653401797177"/>
    <n v="568.73555840821564"/>
    <n v="8.1"/>
    <x v="1"/>
  </r>
  <r>
    <n v="143"/>
    <n v="6314.7560975609758"/>
    <n v="582.04236200256742"/>
    <n v="10.85"/>
    <x v="2"/>
  </r>
  <r>
    <n v="144"/>
    <n v="7718.2064"/>
    <n v="728.88959999999997"/>
    <n v="10.59"/>
    <x v="1"/>
  </r>
  <r>
    <n v="145"/>
    <n v="8342.2631578947367"/>
    <n v="1267.7861842105262"/>
    <n v="6.58"/>
    <x v="1"/>
  </r>
  <r>
    <n v="146"/>
    <n v="7812.8305519897303"/>
    <n v="702.42233632862644"/>
    <n v="11.12"/>
    <x v="2"/>
  </r>
  <r>
    <n v="147"/>
    <n v="8212.558408215662"/>
    <n v="879.61617458279841"/>
    <n v="9.34"/>
    <x v="2"/>
  </r>
  <r>
    <n v="148"/>
    <n v="8638.9655612244896"/>
    <n v="819.47704081632651"/>
    <n v="10.54"/>
    <x v="1"/>
  </r>
  <r>
    <n v="149"/>
    <n v="5567.4839228295823"/>
    <n v="486.21864951768487"/>
    <n v="11.45"/>
    <x v="2"/>
  </r>
  <r>
    <n v="150"/>
    <n v="8417.2410714285706"/>
    <n v="820.3966836734694"/>
    <n v="10.26"/>
    <x v="0"/>
  </r>
  <r>
    <n v="151"/>
    <n v="6755.7641025641024"/>
    <n v="652.00769230769231"/>
    <n v="10.36"/>
    <x v="2"/>
  </r>
  <r>
    <n v="152"/>
    <n v="5541.939666238768"/>
    <n v="621.40308087291396"/>
    <n v="8.92"/>
    <x v="1"/>
  </r>
  <r>
    <n v="153"/>
    <n v="7066.8125802310651"/>
    <n v="633.87933247753529"/>
    <n v="11.15"/>
    <x v="1"/>
  </r>
  <r>
    <n v="154"/>
    <n v="8737.5736235595396"/>
    <n v="737.43021766965433"/>
    <n v="11.85"/>
    <x v="2"/>
  </r>
  <r>
    <n v="155"/>
    <n v="6886.852327447833"/>
    <n v="660.30818619582669"/>
    <n v="10.43"/>
    <x v="2"/>
  </r>
  <r>
    <n v="156"/>
    <n v="6961.6112531969311"/>
    <n v="712.62020460358053"/>
    <n v="9.77"/>
    <x v="1"/>
  </r>
  <r>
    <n v="157"/>
    <n v="9722.7907573812572"/>
    <n v="989.83055198973045"/>
    <n v="9.82"/>
    <x v="1"/>
  </r>
  <r>
    <n v="158"/>
    <n v="8156.8652118100126"/>
    <n v="519.98459563543008"/>
    <n v="15.69"/>
    <x v="2"/>
  </r>
  <r>
    <n v="159"/>
    <n v="7748.6083467094704"/>
    <n v="695.97271268057784"/>
    <n v="11.13"/>
    <x v="2"/>
  </r>
  <r>
    <n v="160"/>
    <n v="5730.6581306017924"/>
    <n v="559.18437900128038"/>
    <n v="10.25"/>
    <x v="2"/>
  </r>
  <r>
    <n v="161"/>
    <n v="7252.5982028241333"/>
    <n v="819.2182284980745"/>
    <n v="8.85"/>
    <x v="1"/>
  </r>
  <r>
    <n v="162"/>
    <n v="7768.131882202305"/>
    <n v="555.69526248399484"/>
    <n v="13.98"/>
    <x v="2"/>
  </r>
  <r>
    <n v="163"/>
    <n v="7298.7066326530612"/>
    <n v="870.80484693877554"/>
    <n v="8.3800000000000008"/>
    <x v="1"/>
  </r>
  <r>
    <n v="164"/>
    <n v="6210.2182985553773"/>
    <n v="633.43338683788124"/>
    <n v="9.8000000000000007"/>
    <x v="1"/>
  </r>
  <r>
    <n v="165"/>
    <n v="3996.8344051446948"/>
    <n v="422.65434083601286"/>
    <n v="9.4600000000000009"/>
    <x v="1"/>
  </r>
  <r>
    <n v="166"/>
    <n v="5819.2464698331196"/>
    <n v="817.26829268292681"/>
    <n v="7.12"/>
    <x v="1"/>
  </r>
  <r>
    <n v="167"/>
    <n v="9295.7794871794868"/>
    <n v="1055.1846153846154"/>
    <n v="8.81"/>
    <x v="1"/>
  </r>
  <r>
    <n v="168"/>
    <n v="7517.1480051480048"/>
    <n v="731.24453024453021"/>
    <n v="10.28"/>
    <x v="1"/>
  </r>
  <r>
    <n v="169"/>
    <n v="7218.9281984334202"/>
    <n v="687.91644908616183"/>
    <n v="10.49"/>
    <x v="2"/>
  </r>
  <r>
    <n v="170"/>
    <n v="5009.4415917843389"/>
    <n v="543.76251604621314"/>
    <n v="9.2100000000000009"/>
    <x v="1"/>
  </r>
  <r>
    <n v="171"/>
    <n v="8429.1476251604618"/>
    <n v="867.24518613607188"/>
    <n v="9.7200000000000006"/>
    <x v="1"/>
  </r>
  <r>
    <n v="172"/>
    <n v="6981.6720257234729"/>
    <n v="868.90192926045017"/>
    <n v="8.0399999999999991"/>
    <x v="1"/>
  </r>
  <r>
    <n v="173"/>
    <n v="8232.7831632653069"/>
    <n v="1006.5369897959183"/>
    <n v="8.18"/>
    <x v="1"/>
  </r>
  <r>
    <n v="174"/>
    <n v="5936.5401929260452"/>
    <n v="479.52250803858522"/>
    <n v="12.38"/>
    <x v="1"/>
  </r>
  <r>
    <n v="175"/>
    <n v="5784.5484693877552"/>
    <n v="690.7079081632653"/>
    <n v="8.3699999999999992"/>
    <x v="0"/>
  </r>
  <r>
    <n v="176"/>
    <n v="5278.1771501925541"/>
    <n v="631.99871630295252"/>
    <n v="8.35"/>
    <x v="1"/>
  </r>
  <r>
    <n v="177"/>
    <n v="3994.0961538461538"/>
    <n v="485.27692307692308"/>
    <n v="8.23"/>
    <x v="1"/>
  </r>
  <r>
    <n v="178"/>
    <n v="10089.92564102564"/>
    <n v="923.56538461538457"/>
    <n v="10.92"/>
    <x v="2"/>
  </r>
  <r>
    <n v="179"/>
    <n v="7295.2747111681647"/>
    <n v="955.83183568677794"/>
    <n v="7.63"/>
    <x v="1"/>
  </r>
  <r>
    <n v="180"/>
    <n v="7220.0612244897957"/>
    <n v="843.23852040816325"/>
    <n v="8.56"/>
    <x v="2"/>
  </r>
  <r>
    <n v="181"/>
    <n v="6382.6982343499194"/>
    <n v="668.78972712680581"/>
    <n v="9.5399999999999991"/>
    <x v="1"/>
  </r>
  <r>
    <n v="182"/>
    <n v="5304.6542893725991"/>
    <n v="417.79385403329064"/>
    <n v="12.7"/>
    <x v="2"/>
  </r>
  <r>
    <n v="183"/>
    <n v="4821.3355155482814"/>
    <n v="601.0360065466449"/>
    <n v="8.02"/>
    <x v="1"/>
  </r>
  <r>
    <n v="184"/>
    <n v="6594.2972972972975"/>
    <n v="595.66795366795361"/>
    <n v="11.07"/>
    <x v="2"/>
  </r>
  <r>
    <n v="185"/>
    <n v="7170.6173469387759"/>
    <n v="545.2283163265306"/>
    <n v="13.15"/>
    <x v="2"/>
  </r>
  <r>
    <n v="186"/>
    <n v="3783.8392282958198"/>
    <n v="381.05948553054662"/>
    <n v="9.93"/>
    <x v="1"/>
  </r>
  <r>
    <n v="187"/>
    <n v="6279.7334183673465"/>
    <n v="775.7079081632653"/>
    <n v="8.1"/>
    <x v="1"/>
  </r>
  <r>
    <n v="188"/>
    <n v="4986.9525032092424"/>
    <n v="438.24005134788189"/>
    <n v="11.38"/>
    <x v="2"/>
  </r>
  <r>
    <n v="189"/>
    <n v="8762.9293966623882"/>
    <n v="837.12580231065465"/>
    <n v="10.47"/>
    <x v="2"/>
  </r>
  <r>
    <n v="190"/>
    <n v="7198.9549839228293"/>
    <n v="656.104501607717"/>
    <n v="10.97"/>
    <x v="1"/>
  </r>
  <r>
    <n v="191"/>
    <n v="6838.9372990353695"/>
    <n v="713.85852090032154"/>
    <n v="9.58"/>
    <x v="1"/>
  </r>
  <r>
    <n v="192"/>
    <n v="9016.8344051446948"/>
    <n v="645.41318327974273"/>
    <n v="13.97"/>
    <x v="2"/>
  </r>
  <r>
    <n v="193"/>
    <n v="5362.0360360360364"/>
    <n v="781.65894465894462"/>
    <n v="6.86"/>
    <x v="1"/>
  </r>
  <r>
    <n v="194"/>
    <n v="4829.4929214929216"/>
    <n v="417.64993564993563"/>
    <n v="11.56"/>
    <x v="2"/>
  </r>
  <r>
    <n v="195"/>
    <n v="10713.17971758665"/>
    <n v="1298.4403080872914"/>
    <n v="8.25"/>
    <x v="1"/>
  </r>
  <r>
    <n v="196"/>
    <n v="5216.3363171355495"/>
    <n v="696.85294117647061"/>
    <n v="7.49"/>
    <x v="0"/>
  </r>
  <r>
    <n v="197"/>
    <n v="6846.6683673469388"/>
    <n v="842.28061224489795"/>
    <n v="8.1300000000000008"/>
    <x v="0"/>
  </r>
  <r>
    <n v="198"/>
    <n v="2900.6048593350383"/>
    <n v="338.47826086956519"/>
    <n v="8.57"/>
    <x v="1"/>
  </r>
  <r>
    <n v="199"/>
    <n v="7955.6970474967911"/>
    <n v="624.58279845956349"/>
    <n v="12.74"/>
    <x v="2"/>
  </r>
  <r>
    <n v="200"/>
    <n v="7729.5442875481385"/>
    <n v="967.65340179717589"/>
    <n v="7.99"/>
    <x v="1"/>
  </r>
  <r>
    <n v="201"/>
    <n v="5249.3517329910137"/>
    <n v="444.21566110397947"/>
    <n v="11.82"/>
    <x v="2"/>
  </r>
  <r>
    <n v="202"/>
    <n v="6065.797695262484"/>
    <n v="509.39180537772086"/>
    <n v="11.91"/>
    <x v="2"/>
  </r>
  <r>
    <n v="203"/>
    <n v="6775.2404092071611"/>
    <n v="882.54987212276217"/>
    <n v="7.68"/>
    <x v="0"/>
  </r>
  <r>
    <n v="204"/>
    <n v="5486.2475884244377"/>
    <n v="524.17845659163982"/>
    <n v="10.47"/>
    <x v="1"/>
  </r>
  <r>
    <n v="205"/>
    <n v="6536.8201530612241"/>
    <n v="879.1862244897959"/>
    <n v="7.44"/>
    <x v="1"/>
  </r>
  <r>
    <n v="206"/>
    <n v="7157.5519897304239"/>
    <n v="799.90500641848519"/>
    <n v="8.9499999999999993"/>
    <x v="1"/>
  </r>
  <r>
    <n v="207"/>
    <n v="11184.206632653062"/>
    <n v="1300.3813775510205"/>
    <n v="8.6"/>
    <x v="1"/>
  </r>
  <r>
    <n v="208"/>
    <n v="2936.2908163265306"/>
    <n v="413.47193877551018"/>
    <n v="7.1"/>
    <x v="0"/>
  </r>
  <r>
    <n v="209"/>
    <n v="5587.7823129251701"/>
    <n v="577.19160997732422"/>
    <n v="9.68"/>
    <x v="1"/>
  </r>
  <r>
    <n v="210"/>
    <n v="3193.9845956354302"/>
    <n v="326.25930680359437"/>
    <n v="9.7899999999999991"/>
    <x v="2"/>
  </r>
  <r>
    <n v="211"/>
    <n v="12994.345663265307"/>
    <n v="1485.8048469387754"/>
    <n v="8.75"/>
    <x v="1"/>
  </r>
  <r>
    <n v="212"/>
    <n v="4775.6568877551017"/>
    <n v="460.75765306122452"/>
    <n v="10.36"/>
    <x v="1"/>
  </r>
  <r>
    <n v="213"/>
    <n v="8131.0410783055195"/>
    <n v="652.66623876765084"/>
    <n v="12.46"/>
    <x v="2"/>
  </r>
  <r>
    <n v="214"/>
    <n v="9331.8754813863925"/>
    <n v="715.45057766367142"/>
    <n v="13.04"/>
    <x v="2"/>
  </r>
  <r>
    <n v="215"/>
    <n v="6313.492753623188"/>
    <n v="490.28341384863126"/>
    <n v="12.88"/>
    <x v="2"/>
  </r>
  <r>
    <n v="216"/>
    <n v="7226.7757731958764"/>
    <n v="887.67268041237116"/>
    <n v="8.14"/>
    <x v="0"/>
  </r>
  <r>
    <n v="217"/>
    <n v="4700.8877551020405"/>
    <n v="642.88010204081638"/>
    <n v="7.31"/>
    <x v="0"/>
  </r>
  <r>
    <n v="218"/>
    <n v="5018.5771704180061"/>
    <n v="696.39871382636659"/>
    <n v="7.21"/>
    <x v="1"/>
  </r>
  <r>
    <n v="219"/>
    <n v="3133.7124518613609"/>
    <n v="406.44415917843389"/>
    <n v="7.71"/>
    <x v="1"/>
  </r>
  <r>
    <n v="220"/>
    <n v="4906.432989690722"/>
    <n v="644.62371134020623"/>
    <n v="7.61"/>
    <x v="1"/>
  </r>
  <r>
    <n v="221"/>
    <n v="5821.8380102040819"/>
    <n v="552.75"/>
    <n v="10.53"/>
    <x v="2"/>
  </r>
  <r>
    <n v="222"/>
    <n v="4982.4566326530612"/>
    <n v="561.5637755102041"/>
    <n v="8.8699999999999992"/>
    <x v="1"/>
  </r>
  <r>
    <n v="223"/>
    <n v="7232.8759590792843"/>
    <n v="738.71611253196932"/>
    <n v="9.7899999999999991"/>
    <x v="2"/>
  </r>
  <r>
    <n v="224"/>
    <n v="6629.7490347490348"/>
    <n v="478.66023166023166"/>
    <n v="13.85"/>
    <x v="2"/>
  </r>
  <r>
    <n v="225"/>
    <n v="5197"/>
    <n v="556.32608695652175"/>
    <n v="9.34"/>
    <x v="2"/>
  </r>
  <r>
    <n v="226"/>
    <n v="7257.2906530089631"/>
    <n v="703.01152368758005"/>
    <n v="10.32"/>
    <x v="1"/>
  </r>
  <r>
    <n v="227"/>
    <n v="6020.447916666667"/>
    <n v="561.15625"/>
    <n v="10.73"/>
    <x v="1"/>
  </r>
  <r>
    <n v="228"/>
    <n v="7946.1399229781773"/>
    <n v="593.11681643132226"/>
    <n v="13.4"/>
    <x v="2"/>
  </r>
  <r>
    <n v="229"/>
    <n v="8645.3632862644408"/>
    <n v="734.25160462130941"/>
    <n v="11.77"/>
    <x v="2"/>
  </r>
  <r>
    <n v="230"/>
    <n v="7561.6403061224491"/>
    <n v="940.22704081632651"/>
    <n v="8.0399999999999991"/>
    <x v="2"/>
  </r>
  <r>
    <n v="231"/>
    <n v="4770.2797427652731"/>
    <n v="394.50160771704179"/>
    <n v="12.09"/>
    <x v="2"/>
  </r>
  <r>
    <n v="232"/>
    <n v="3372.3511749347258"/>
    <n v="303.83550913838121"/>
    <n v="11.1"/>
    <x v="0"/>
  </r>
  <r>
    <n v="233"/>
    <n v="9431.0896286811785"/>
    <n v="1031.6658130601793"/>
    <n v="9.14"/>
    <x v="1"/>
  </r>
  <r>
    <n v="234"/>
    <n v="11072.315789473685"/>
    <n v="1024.7214377406931"/>
    <n v="10.81"/>
    <x v="2"/>
  </r>
  <r>
    <n v="235"/>
    <n v="5935.4481434058898"/>
    <n v="501.12932138284253"/>
    <n v="11.84"/>
    <x v="1"/>
  </r>
  <r>
    <n v="236"/>
    <n v="7119.5637755102043"/>
    <n v="864.78826530612241"/>
    <n v="8.23"/>
    <x v="1"/>
  </r>
  <r>
    <n v="237"/>
    <n v="4535.9910714285716"/>
    <n v="574.73086734693879"/>
    <n v="7.89"/>
    <x v="1"/>
  </r>
  <r>
    <n v="238"/>
    <n v="7661.718015665796"/>
    <n v="1101.3577023498694"/>
    <n v="6.96"/>
    <x v="1"/>
  </r>
  <r>
    <n v="239"/>
    <n v="5071.2105263157891"/>
    <n v="472.06803594351732"/>
    <n v="10.74"/>
    <x v="2"/>
  </r>
  <r>
    <n v="240"/>
    <n v="4812.0357142857147"/>
    <n v="459.75382653061223"/>
    <n v="10.47"/>
    <x v="1"/>
  </r>
  <r>
    <n v="241"/>
    <n v="6583.2272143774071"/>
    <n v="704.71887034659824"/>
    <n v="9.34"/>
    <x v="2"/>
  </r>
  <r>
    <n v="242"/>
    <n v="4093.0947503201023"/>
    <n v="365.84635083226635"/>
    <n v="11.19"/>
    <x v="2"/>
  </r>
  <r>
    <n v="243"/>
    <n v="7074.0706260032102"/>
    <n v="953.46709470304972"/>
    <n v="7.42"/>
    <x v="1"/>
  </r>
  <r>
    <n v="244"/>
    <n v="5271.0988446726569"/>
    <n v="540.34274711168166"/>
    <n v="9.76"/>
    <x v="2"/>
  </r>
  <r>
    <n v="245"/>
    <n v="8897.6632522407162"/>
    <n v="1020.7567221510883"/>
    <n v="8.7200000000000006"/>
    <x v="1"/>
  </r>
  <r>
    <n v="246"/>
    <n v="7081.0548469387759"/>
    <n v="937.29974489795916"/>
    <n v="7.55"/>
    <x v="0"/>
  </r>
  <r>
    <n v="247"/>
    <n v="8576.7106274007674"/>
    <n v="683.96670934699102"/>
    <n v="12.54"/>
    <x v="2"/>
  </r>
  <r>
    <n v="248"/>
    <n v="8362.1709183673465"/>
    <n v="1112.5357142857142"/>
    <n v="7.52"/>
    <x v="1"/>
  </r>
  <r>
    <n v="249"/>
    <n v="5285.8239795918371"/>
    <n v="537.73469387755097"/>
    <n v="9.83"/>
    <x v="2"/>
  </r>
  <r>
    <n v="250"/>
    <n v="8470.6235595390517"/>
    <n v="657.93854033290654"/>
    <n v="12.87"/>
    <x v="2"/>
  </r>
  <r>
    <n v="251"/>
    <n v="19123.068035943517"/>
    <n v="2450.4929396662387"/>
    <n v="7.8"/>
    <x v="1"/>
  </r>
  <r>
    <n v="252"/>
    <n v="10615.512195121952"/>
    <n v="809.63029525032096"/>
    <n v="13.11"/>
    <x v="2"/>
  </r>
  <r>
    <n v="253"/>
    <n v="5746.7240051347881"/>
    <n v="690.71373555840819"/>
    <n v="8.32"/>
    <x v="1"/>
  </r>
  <r>
    <n v="254"/>
    <n v="3005.9833119383825"/>
    <n v="258.6739409499358"/>
    <n v="11.62"/>
    <x v="2"/>
  </r>
  <r>
    <n v="255"/>
    <n v="6271.1309370988447"/>
    <n v="640.36328626444163"/>
    <n v="9.7899999999999991"/>
    <x v="0"/>
  </r>
  <r>
    <n v="256"/>
    <n v="9832.8788659793809"/>
    <n v="1247.194587628866"/>
    <n v="7.88"/>
    <x v="1"/>
  </r>
  <r>
    <n v="257"/>
    <n v="5335.5854591836733"/>
    <n v="632.01020408163265"/>
    <n v="8.44"/>
    <x v="1"/>
  </r>
  <r>
    <n v="258"/>
    <n v="5642.096463022508"/>
    <n v="493.88585209003213"/>
    <n v="11.42"/>
    <x v="1"/>
  </r>
  <r>
    <n v="259"/>
    <n v="11643.638412017168"/>
    <n v="2372.2961373390558"/>
    <n v="4.91"/>
    <x v="3"/>
  </r>
  <r>
    <n v="260"/>
    <n v="6559.9974489795923"/>
    <n v="911.44897959183675"/>
    <n v="7.2"/>
    <x v="1"/>
  </r>
  <r>
    <n v="261"/>
    <n v="12616.487804878048"/>
    <n v="948.93453145057765"/>
    <n v="13.3"/>
    <x v="2"/>
  </r>
  <r>
    <n v="262"/>
    <n v="20718.51592356688"/>
    <n v="3402.0106157112527"/>
    <n v="6.09"/>
    <x v="3"/>
  </r>
  <r>
    <n v="263"/>
    <n v="3707.5160771704182"/>
    <n v="355.85530546623795"/>
    <n v="10.42"/>
    <x v="1"/>
  </r>
  <r>
    <n v="264"/>
    <n v="7234.2401574803152"/>
    <n v="954.37532808398953"/>
    <n v="7.58"/>
    <x v="1"/>
  </r>
  <r>
    <n v="265"/>
    <n v="4954.8292682926831"/>
    <n v="503.25545571245186"/>
    <n v="9.85"/>
    <x v="1"/>
  </r>
  <r>
    <n v="266"/>
    <n v="4389.7576923076922"/>
    <n v="531.38846153846157"/>
    <n v="8.26"/>
    <x v="1"/>
  </r>
  <r>
    <n v="267"/>
    <n v="9289.1607142857138"/>
    <n v="1124.5153061224489"/>
    <n v="8.26"/>
    <x v="0"/>
  </r>
  <r>
    <n v="268"/>
    <n v="4881.1734693877552"/>
    <n v="598.02933673469386"/>
    <n v="8.16"/>
    <x v="1"/>
  </r>
  <r>
    <n v="269"/>
    <n v="9346.7060333761237"/>
    <n v="1231.1001283697049"/>
    <n v="7.59"/>
    <x v="1"/>
  </r>
  <r>
    <n v="270"/>
    <n v="9291.6237244897966"/>
    <n v="1205.0676020408164"/>
    <n v="7.71"/>
    <x v="1"/>
  </r>
  <r>
    <n v="271"/>
    <n v="7841.6910256410256"/>
    <n v="791.8602564102564"/>
    <n v="9.9"/>
    <x v="1"/>
  </r>
  <r>
    <n v="272"/>
    <n v="6237.3149807938544"/>
    <n v="629.56081946222787"/>
    <n v="9.91"/>
    <x v="1"/>
  </r>
  <r>
    <n v="273"/>
    <n v="7059.6482670089863"/>
    <n v="703.6521181001284"/>
    <n v="10.029999999999999"/>
    <x v="1"/>
  </r>
  <r>
    <n v="274"/>
    <n v="4070.8283261802576"/>
    <n v="992.74141630901283"/>
    <n v="4.0999999999999996"/>
    <x v="3"/>
  </r>
  <r>
    <n v="275"/>
    <n v="7443.8424437299036"/>
    <n v="749.29742765273306"/>
    <n v="9.93"/>
    <x v="2"/>
  </r>
  <r>
    <n v="276"/>
    <n v="4091.1948717948717"/>
    <n v="520.9487179487179"/>
    <n v="7.85"/>
    <x v="1"/>
  </r>
  <r>
    <n v="277"/>
    <n v="6444.519292604502"/>
    <n v="535.24598070739546"/>
    <n v="12.04"/>
    <x v="2"/>
  </r>
  <r>
    <n v="278"/>
    <n v="7142.1670918367345"/>
    <n v="792.59948979591832"/>
    <n v="9.01"/>
    <x v="1"/>
  </r>
  <r>
    <n v="279"/>
    <n v="8881.0898876404499"/>
    <n v="667.53290529695028"/>
    <n v="13.3"/>
    <x v="2"/>
  </r>
  <r>
    <n v="280"/>
    <n v="6267.4890604890606"/>
    <n v="521.05920205920211"/>
    <n v="12.03"/>
    <x v="2"/>
  </r>
  <r>
    <n v="281"/>
    <n v="5860.6173469387759"/>
    <n v="549.65433673469386"/>
    <n v="10.66"/>
    <x v="2"/>
  </r>
  <r>
    <n v="282"/>
    <n v="4408.5841836734689"/>
    <n v="640.98341836734699"/>
    <n v="6.88"/>
    <x v="1"/>
  </r>
  <r>
    <n v="283"/>
    <n v="7114.1591639871385"/>
    <n v="718.32636655948556"/>
    <n v="9.9"/>
    <x v="1"/>
  </r>
  <r>
    <n v="284"/>
    <n v="5413.2508038585211"/>
    <n v="449.93247588424435"/>
    <n v="12.03"/>
    <x v="2"/>
  </r>
  <r>
    <n v="285"/>
    <n v="5154.9244558258642"/>
    <n v="470.23815620998721"/>
    <n v="10.96"/>
    <x v="1"/>
  </r>
  <r>
    <n v="286"/>
    <n v="4927.8202824133505"/>
    <n v="430.45571245186136"/>
    <n v="11.45"/>
    <x v="1"/>
  </r>
  <r>
    <n v="287"/>
    <n v="8152.4003215434086"/>
    <n v="818.99839228295821"/>
    <n v="9.9499999999999993"/>
    <x v="0"/>
  </r>
  <r>
    <n v="288"/>
    <n v="5625.7331189710612"/>
    <n v="422.51768488745978"/>
    <n v="13.31"/>
    <x v="2"/>
  </r>
  <r>
    <n v="289"/>
    <n v="6321.2279129321387"/>
    <n v="553.70934699103714"/>
    <n v="11.42"/>
    <x v="2"/>
  </r>
  <r>
    <n v="290"/>
    <n v="7014.1578947368425"/>
    <n v="682.70603337612329"/>
    <n v="10.27"/>
    <x v="1"/>
  </r>
  <r>
    <n v="291"/>
    <n v="8023.0397435897439"/>
    <n v="840.35"/>
    <n v="9.5500000000000007"/>
    <x v="2"/>
  </r>
  <r>
    <n v="292"/>
    <n v="5774.0900783289817"/>
    <n v="706.52219321148823"/>
    <n v="8.17"/>
    <x v="1"/>
  </r>
  <r>
    <n v="293"/>
    <n v="6257.7650063856963"/>
    <n v="815.37547892720306"/>
    <n v="7.67"/>
    <x v="0"/>
  </r>
  <r>
    <n v="294"/>
    <n v="5770.2804097311137"/>
    <n v="766.02432778489117"/>
    <n v="7.53"/>
    <x v="1"/>
  </r>
  <r>
    <n v="295"/>
    <n v="5285.4311454311455"/>
    <n v="670.98069498069503"/>
    <n v="7.88"/>
    <x v="1"/>
  </r>
  <r>
    <n v="296"/>
    <n v="6963.4609475032012"/>
    <n v="754.80793854033288"/>
    <n v="9.23"/>
    <x v="1"/>
  </r>
  <r>
    <n v="297"/>
    <n v="6992.070785070785"/>
    <n v="719.93050193050192"/>
    <n v="9.7100000000000009"/>
    <x v="1"/>
  </r>
  <r>
    <n v="298"/>
    <n v="8398.6173633440521"/>
    <n v="691.28456591639872"/>
    <n v="12.15"/>
    <x v="2"/>
  </r>
  <r>
    <n v="299"/>
    <n v="6235.3061224489793"/>
    <n v="682.82879818594108"/>
    <n v="9.1300000000000008"/>
    <x v="2"/>
  </r>
  <r>
    <n v="300"/>
    <n v="7077.5959079283884"/>
    <n v="878.69181585677745"/>
    <n v="8.0500000000000007"/>
    <x v="1"/>
  </r>
  <r>
    <n v="301"/>
    <n v="5538.4413265306121"/>
    <n v="596.14285714285711"/>
    <n v="9.2899999999999991"/>
    <x v="1"/>
  </r>
  <r>
    <n v="302"/>
    <n v="3742.2842509603074"/>
    <n v="323.3393085787452"/>
    <n v="11.57"/>
    <x v="2"/>
  </r>
  <r>
    <n v="303"/>
    <n v="6180.0860495436764"/>
    <n v="673.12255541069101"/>
    <n v="9.18"/>
    <x v="1"/>
  </r>
  <r>
    <n v="304"/>
    <n v="7067.7028061224491"/>
    <n v="1055.9387755102041"/>
    <n v="6.69"/>
    <x v="1"/>
  </r>
  <r>
    <n v="305"/>
    <n v="5347.3418693982076"/>
    <n v="507.45838668373881"/>
    <n v="10.54"/>
    <x v="0"/>
  </r>
  <r>
    <n v="306"/>
    <n v="4368.8665594855302"/>
    <n v="467.87942122186496"/>
    <n v="9.34"/>
    <x v="1"/>
  </r>
  <r>
    <n v="307"/>
    <n v="2703.7365728900254"/>
    <n v="307.80562659846549"/>
    <n v="8.7799999999999994"/>
    <x v="1"/>
  </r>
  <r>
    <n v="308"/>
    <n v="9353.1627604166661"/>
    <n v="938.48046875"/>
    <n v="9.9700000000000006"/>
    <x v="1"/>
  </r>
  <r>
    <n v="309"/>
    <n v="6971.3196405648268"/>
    <n v="591.03209242618743"/>
    <n v="11.8"/>
    <x v="2"/>
  </r>
  <r>
    <n v="310"/>
    <n v="8236.3634336677824"/>
    <n v="699.67001114827201"/>
    <n v="11.77"/>
    <x v="1"/>
  </r>
  <r>
    <n v="311"/>
    <n v="6638.5877080665814"/>
    <n v="789.15877080665814"/>
    <n v="8.41"/>
    <x v="1"/>
  </r>
  <r>
    <n v="312"/>
    <n v="5568.1574903969267"/>
    <n v="538.65300896286817"/>
    <n v="10.34"/>
    <x v="2"/>
  </r>
  <r>
    <n v="313"/>
    <n v="7075.4948849104858"/>
    <n v="707.01406649616365"/>
    <n v="10.01"/>
    <x v="2"/>
  </r>
  <r>
    <n v="314"/>
    <n v="5137.7150192554554"/>
    <n v="571.25802310654683"/>
    <n v="8.99"/>
    <x v="1"/>
  </r>
  <r>
    <n v="315"/>
    <n v="4252.4107142857147"/>
    <n v="449.57270408163265"/>
    <n v="9.4600000000000009"/>
    <x v="1"/>
  </r>
  <r>
    <n v="316"/>
    <n v="9855.6251604621302"/>
    <n v="901.83825417201535"/>
    <n v="10.93"/>
    <x v="2"/>
  </r>
  <r>
    <n v="317"/>
    <n v="5379.4855305466235"/>
    <n v="579.31832797427649"/>
    <n v="9.2899999999999991"/>
    <x v="2"/>
  </r>
  <r>
    <n v="318"/>
    <n v="7527.7166666666662"/>
    <n v="658.7461538461539"/>
    <n v="11.43"/>
    <x v="2"/>
  </r>
  <r>
    <n v="319"/>
    <n v="7787.0765306122448"/>
    <n v="843.68494897959181"/>
    <n v="9.23"/>
    <x v="1"/>
  </r>
  <r>
    <n v="320"/>
    <n v="14834.461734693878"/>
    <n v="2063.1237244897961"/>
    <n v="7.19"/>
    <x v="1"/>
  </r>
  <r>
    <n v="321"/>
    <n v="5958.3179487179486"/>
    <n v="585.46410256410252"/>
    <n v="10.18"/>
    <x v="0"/>
  </r>
  <r>
    <n v="322"/>
    <n v="5021.1726342710999"/>
    <n v="547.86700767263426"/>
    <n v="9.16"/>
    <x v="1"/>
  </r>
  <r>
    <n v="323"/>
    <n v="7365.3594351732991"/>
    <n v="621.14249037227216"/>
    <n v="11.86"/>
    <x v="2"/>
  </r>
  <r>
    <n v="324"/>
    <n v="5687.9858974358976"/>
    <n v="721.73461538461538"/>
    <n v="7.88"/>
    <x v="1"/>
  </r>
  <r>
    <n v="325"/>
    <n v="6484.6456996148909"/>
    <n v="673.0603337612323"/>
    <n v="9.6300000000000008"/>
    <x v="1"/>
  </r>
  <r>
    <n v="326"/>
    <n v="5008.9037227214376"/>
    <n v="418.74197689345317"/>
    <n v="11.96"/>
    <x v="2"/>
  </r>
  <r>
    <n v="327"/>
    <n v="7728.2429305912592"/>
    <n v="929.48329048843186"/>
    <n v="8.31"/>
    <x v="0"/>
  </r>
  <r>
    <n v="328"/>
    <n v="4432.0295250320924"/>
    <n v="520.39922978177151"/>
    <n v="8.52"/>
    <x v="1"/>
  </r>
  <r>
    <n v="329"/>
    <n v="6912.7163029525036"/>
    <n v="620.52118100128371"/>
    <n v="11.14"/>
    <x v="1"/>
  </r>
  <r>
    <n v="330"/>
    <n v="4166.6379974326055"/>
    <n v="447.55455712451862"/>
    <n v="9.31"/>
    <x v="1"/>
  </r>
  <r>
    <n v="331"/>
    <n v="6160.85622593068"/>
    <n v="820.20539152759943"/>
    <n v="7.51"/>
    <x v="1"/>
  </r>
  <r>
    <n v="332"/>
    <n v="3728.5666666666666"/>
    <n v="501.49743589743588"/>
    <n v="7.43"/>
    <x v="1"/>
  </r>
  <r>
    <n v="333"/>
    <n v="9773.1900510204086"/>
    <n v="1267.1096938775511"/>
    <n v="7.71"/>
    <x v="1"/>
  </r>
  <r>
    <n v="334"/>
    <n v="5428.3851091142487"/>
    <n v="562.1399229781772"/>
    <n v="9.66"/>
    <x v="2"/>
  </r>
  <r>
    <n v="335"/>
    <n v="13313.93949044586"/>
    <n v="2385.2823779193204"/>
    <n v="5.58"/>
    <x v="3"/>
  </r>
  <r>
    <n v="336"/>
    <n v="13910.661538461538"/>
    <n v="1960.3115384615385"/>
    <n v="7.1"/>
    <x v="1"/>
  </r>
  <r>
    <n v="337"/>
    <n v="5049.6530089628677"/>
    <n v="383.93085787451986"/>
    <n v="13.15"/>
    <x v="2"/>
  </r>
  <r>
    <n v="338"/>
    <n v="7217.9539052496802"/>
    <n v="624.73111395646606"/>
    <n v="11.55"/>
    <x v="1"/>
  </r>
  <r>
    <n v="339"/>
    <n v="5133.6388888888887"/>
    <n v="679.35978835978835"/>
    <n v="7.56"/>
    <x v="1"/>
  </r>
  <r>
    <n v="340"/>
    <n v="6485.6428571428569"/>
    <n v="715.03826530612241"/>
    <n v="9.07"/>
    <x v="1"/>
  </r>
  <r>
    <n v="341"/>
    <n v="5511.5340179717587"/>
    <n v="750.13478818998715"/>
    <n v="7.35"/>
    <x v="1"/>
  </r>
  <r>
    <n v="342"/>
    <n v="11104.138486312399"/>
    <n v="849.73429951690821"/>
    <n v="13.07"/>
    <x v="2"/>
  </r>
  <r>
    <n v="343"/>
    <n v="7199.3658536585363"/>
    <n v="702.15917843388956"/>
    <n v="10.25"/>
    <x v="2"/>
  </r>
  <r>
    <n v="344"/>
    <n v="8481.1084183673465"/>
    <n v="1139.4107142857142"/>
    <n v="7.44"/>
    <x v="1"/>
  </r>
  <r>
    <n v="345"/>
    <n v="4559.5852090032158"/>
    <n v="494.37781350482317"/>
    <n v="9.2200000000000006"/>
    <x v="1"/>
  </r>
  <r>
    <n v="346"/>
    <n v="6830.5006418485236"/>
    <n v="619.69833119383827"/>
    <n v="11.02"/>
    <x v="1"/>
  </r>
  <r>
    <n v="347"/>
    <n v="4804.1904761904761"/>
    <n v="386.68468468468467"/>
    <n v="12.42"/>
    <x v="2"/>
  </r>
  <r>
    <n v="348"/>
    <n v="8802.9748743718592"/>
    <n v="735.5577889447236"/>
    <n v="11.97"/>
    <x v="1"/>
  </r>
  <r>
    <n v="349"/>
    <n v="8159.2157142857141"/>
    <n v="829.59"/>
    <n v="9.84"/>
    <x v="0"/>
  </r>
  <r>
    <n v="350"/>
    <n v="7013.1331626120354"/>
    <n v="529.41357234314978"/>
    <n v="13.25"/>
    <x v="2"/>
  </r>
  <r>
    <n v="351"/>
    <n v="6046.867779204108"/>
    <n v="518.82413350449292"/>
    <n v="11.65"/>
    <x v="1"/>
  </r>
  <r>
    <n v="352"/>
    <n v="6692.2321428571431"/>
    <n v="636.95408163265301"/>
    <n v="10.51"/>
    <x v="2"/>
  </r>
  <r>
    <n v="353"/>
    <n v="5645.2986036519869"/>
    <n v="1449.5273899033298"/>
    <n v="3.89"/>
    <x v="3"/>
  </r>
  <r>
    <n v="354"/>
    <n v="8390.5815147625162"/>
    <n v="705.45186136071891"/>
    <n v="11.89"/>
    <x v="2"/>
  </r>
  <r>
    <n v="355"/>
    <n v="9148.8112244897966"/>
    <n v="1101.6632653061224"/>
    <n v="8.3000000000000007"/>
    <x v="1"/>
  </r>
  <r>
    <n v="356"/>
    <n v="5719.2818532818537"/>
    <n v="435.80180180180179"/>
    <n v="13.12"/>
    <x v="2"/>
  </r>
  <r>
    <n v="357"/>
    <n v="7795.470052083333"/>
    <n v="1017.171875"/>
    <n v="7.66"/>
    <x v="1"/>
  </r>
  <r>
    <n v="358"/>
    <n v="10306.111681643133"/>
    <n v="1122.5917843388961"/>
    <n v="9.18"/>
    <x v="1"/>
  </r>
  <r>
    <n v="359"/>
    <n v="6851.2554557124522"/>
    <n v="611.94993581514757"/>
    <n v="11.2"/>
    <x v="2"/>
  </r>
  <r>
    <n v="360"/>
    <n v="6935.4591836734689"/>
    <n v="756.5408163265306"/>
    <n v="9.17"/>
    <x v="1"/>
  </r>
  <r>
    <n v="361"/>
    <n v="6266.8833333333332"/>
    <n v="637.82307692307688"/>
    <n v="9.83"/>
    <x v="0"/>
  </r>
  <r>
    <n v="362"/>
    <n v="9376.6555697823296"/>
    <n v="1150.6184379001281"/>
    <n v="8.15"/>
    <x v="0"/>
  </r>
  <r>
    <n v="363"/>
    <n v="7134.2002551020405"/>
    <n v="937.08545918367349"/>
    <n v="7.61"/>
    <x v="1"/>
  </r>
  <r>
    <n v="364"/>
    <n v="4553.1141374837871"/>
    <n v="567.62645914396887"/>
    <n v="8.02"/>
    <x v="1"/>
  </r>
  <r>
    <n v="365"/>
    <n v="5440.594202898551"/>
    <n v="587.2061191626409"/>
    <n v="9.27"/>
    <x v="0"/>
  </r>
  <r>
    <n v="366"/>
    <n v="6196.7628205128203"/>
    <n v="600.92820512820515"/>
    <n v="10.31"/>
    <x v="2"/>
  </r>
  <r>
    <n v="367"/>
    <n v="5254.2385204081629"/>
    <n v="542.78954081632651"/>
    <n v="9.68"/>
    <x v="2"/>
  </r>
  <r>
    <n v="368"/>
    <n v="9686.268983268983"/>
    <n v="712.88030888030892"/>
    <n v="13.59"/>
    <x v="2"/>
  </r>
  <r>
    <n v="369"/>
    <n v="6856.5595390524968"/>
    <n v="577.28553137003837"/>
    <n v="11.88"/>
    <x v="2"/>
  </r>
  <r>
    <n v="370"/>
    <n v="7649.6431322207955"/>
    <n v="635.63286264441592"/>
    <n v="12.03"/>
    <x v="2"/>
  </r>
  <r>
    <n v="371"/>
    <n v="6889.7567221510881"/>
    <n v="544.41101152368753"/>
    <n v="12.66"/>
    <x v="2"/>
  </r>
  <r>
    <n v="372"/>
    <n v="8786.2066752246465"/>
    <n v="759.29910141206676"/>
    <n v="11.57"/>
    <x v="2"/>
  </r>
  <r>
    <n v="373"/>
    <n v="4530.5032175032175"/>
    <n v="316.54440154440152"/>
    <n v="14.31"/>
    <x v="2"/>
  </r>
  <r>
    <n v="374"/>
    <n v="7009.6734693877552"/>
    <n v="829.73596938775506"/>
    <n v="8.4499999999999993"/>
    <x v="1"/>
  </r>
  <r>
    <n v="375"/>
    <n v="9164.3846153846152"/>
    <n v="758.97564102564104"/>
    <n v="12.07"/>
    <x v="1"/>
  </r>
  <r>
    <n v="376"/>
    <n v="8460.1201550387595"/>
    <n v="949.96124031007753"/>
    <n v="8.91"/>
    <x v="1"/>
  </r>
  <r>
    <n v="377"/>
    <n v="7818.5267857142853"/>
    <n v="969.41454081632651"/>
    <n v="8.07"/>
    <x v="1"/>
  </r>
  <r>
    <n v="378"/>
    <n v="6324.801026957638"/>
    <n v="970.1566110397946"/>
    <n v="6.52"/>
    <x v="1"/>
  </r>
  <r>
    <n v="379"/>
    <n v="3902.220663265306"/>
    <n v="467.53954081632651"/>
    <n v="8.35"/>
    <x v="2"/>
  </r>
  <r>
    <n v="380"/>
    <n v="14456.580231065469"/>
    <n v="1380.4557124518615"/>
    <n v="10.47"/>
    <x v="1"/>
  </r>
  <r>
    <n v="381"/>
    <n v="9001.5551282051274"/>
    <n v="965.19102564102559"/>
    <n v="9.33"/>
    <x v="1"/>
  </r>
  <r>
    <n v="382"/>
    <n v="7985.8474358974363"/>
    <n v="651.24102564102566"/>
    <n v="12.26"/>
    <x v="0"/>
  </r>
  <r>
    <n v="383"/>
    <n v="17294.716666666667"/>
    <n v="2205.4474358974358"/>
    <n v="7.84"/>
    <x v="1"/>
  </r>
  <r>
    <n v="384"/>
    <n v="8871.5754475703325"/>
    <n v="998.8554987212276"/>
    <n v="8.8800000000000008"/>
    <x v="1"/>
  </r>
  <r>
    <n v="385"/>
    <n v="7348.519292604502"/>
    <n v="654.5530546623794"/>
    <n v="11.23"/>
    <x v="2"/>
  </r>
  <r>
    <n v="386"/>
    <n v="8029.541720154044"/>
    <n v="645.39666238767654"/>
    <n v="12.44"/>
    <x v="2"/>
  </r>
  <r>
    <n v="387"/>
    <n v="9362.5900783289817"/>
    <n v="1195.8015665796345"/>
    <n v="7.83"/>
    <x v="0"/>
  </r>
  <r>
    <n v="388"/>
    <n v="10257.920410783056"/>
    <n v="1096.4454428754814"/>
    <n v="9.36"/>
    <x v="1"/>
  </r>
  <r>
    <n v="389"/>
    <n v="10337.401785714286"/>
    <n v="1265.4107142857142"/>
    <n v="8.17"/>
    <x v="1"/>
  </r>
  <r>
    <n v="390"/>
    <n v="11568.65641025641"/>
    <n v="1067.3897435897436"/>
    <n v="10.84"/>
    <x v="1"/>
  </r>
  <r>
    <n v="391"/>
    <n v="5719.555989583333"/>
    <n v="690.52604166666663"/>
    <n v="8.2799999999999994"/>
    <x v="1"/>
  </r>
  <r>
    <n v="392"/>
    <n v="7279.4287548138636"/>
    <n v="718.08215661103975"/>
    <n v="10.14"/>
    <x v="1"/>
  </r>
  <r>
    <n v="393"/>
    <n v="5903.0667522464701"/>
    <n v="587.25673940949935"/>
    <n v="10.050000000000001"/>
    <x v="2"/>
  </r>
  <r>
    <n v="394"/>
    <n v="8353.2458386683738"/>
    <n v="661.87195902688859"/>
    <n v="12.62"/>
    <x v="2"/>
  </r>
  <r>
    <n v="395"/>
    <n v="3989.1347881899874"/>
    <n v="519.65468549422337"/>
    <n v="7.68"/>
    <x v="1"/>
  </r>
  <r>
    <n v="396"/>
    <n v="10222.092307692308"/>
    <n v="1077.9089743589743"/>
    <n v="9.48"/>
    <x v="1"/>
  </r>
  <r>
    <n v="397"/>
    <n v="5574.8831835686779"/>
    <n v="750.21566110397941"/>
    <n v="7.43"/>
    <x v="1"/>
  </r>
  <r>
    <n v="398"/>
    <n v="5496.5229591836733"/>
    <n v="614.61607142857144"/>
    <n v="8.94"/>
    <x v="0"/>
  </r>
  <r>
    <n v="399"/>
    <n v="5558.8488745980703"/>
    <n v="564.98231511254016"/>
    <n v="9.84"/>
    <x v="1"/>
  </r>
  <r>
    <n v="400"/>
    <n v="8745.718670076727"/>
    <n v="1200.6496163682864"/>
    <n v="7.28"/>
    <x v="1"/>
  </r>
  <r>
    <n v="401"/>
    <n v="7026.5320512820517"/>
    <n v="646.84487179487178"/>
    <n v="10.86"/>
    <x v="1"/>
  </r>
  <r>
    <n v="402"/>
    <n v="5857.9910256410258"/>
    <n v="615.42692307692312"/>
    <n v="9.52"/>
    <x v="0"/>
  </r>
  <r>
    <n v="403"/>
    <n v="7468.5237483953788"/>
    <n v="736.6867779204108"/>
    <n v="10.14"/>
    <x v="1"/>
  </r>
  <r>
    <n v="404"/>
    <n v="4785.223978919631"/>
    <n v="571.31093544137025"/>
    <n v="8.3800000000000008"/>
    <x v="1"/>
  </r>
  <r>
    <n v="405"/>
    <n v="4520.6996148908856"/>
    <n v="487.70346598202826"/>
    <n v="9.27"/>
    <x v="1"/>
  </r>
  <r>
    <n v="406"/>
    <n v="6111.0590500641847"/>
    <n v="474.06418485237486"/>
    <n v="12.89"/>
    <x v="2"/>
  </r>
  <r>
    <n v="407"/>
    <n v="3886.7443729903539"/>
    <n v="314.65434083601286"/>
    <n v="12.35"/>
    <x v="1"/>
  </r>
  <r>
    <n v="408"/>
    <n v="4727.7747747747744"/>
    <n v="465.06177606177607"/>
    <n v="10.17"/>
    <x v="0"/>
  </r>
  <r>
    <n v="409"/>
    <n v="5527.3585147247122"/>
    <n v="543.67605633802816"/>
    <n v="10.17"/>
    <x v="2"/>
  </r>
  <r>
    <n v="410"/>
    <n v="6443.8780487804879"/>
    <n v="802.20795892169451"/>
    <n v="8.0299999999999994"/>
    <x v="0"/>
  </r>
  <r>
    <n v="411"/>
    <n v="9133.3649167733674"/>
    <n v="700.84763124199742"/>
    <n v="13.03"/>
    <x v="2"/>
  </r>
  <r>
    <n v="412"/>
    <n v="9102.1221864951767"/>
    <n v="644.71543408360128"/>
    <n v="14.12"/>
    <x v="2"/>
  </r>
  <r>
    <n v="413"/>
    <n v="7058.2170418006435"/>
    <n v="890.01929260450163"/>
    <n v="7.93"/>
    <x v="1"/>
  </r>
  <r>
    <n v="414"/>
    <n v="6427.9769526248401"/>
    <n v="484.14084507042253"/>
    <n v="13.28"/>
    <x v="2"/>
  </r>
  <r>
    <n v="415"/>
    <n v="6234.8346153846151"/>
    <n v="521.28076923076924"/>
    <n v="11.96"/>
    <x v="2"/>
  </r>
  <r>
    <n v="416"/>
    <n v="11012.006377551021"/>
    <n v="1398.3890306122448"/>
    <n v="7.87"/>
    <x v="1"/>
  </r>
  <r>
    <n v="417"/>
    <n v="7633.2811296534019"/>
    <n v="804.00256739409497"/>
    <n v="9.49"/>
    <x v="1"/>
  </r>
  <r>
    <n v="418"/>
    <n v="5275.8518041237112"/>
    <n v="551.55283505154637"/>
    <n v="9.57"/>
    <x v="1"/>
  </r>
  <r>
    <n v="419"/>
    <n v="5311.158163265306"/>
    <n v="852.0612244897959"/>
    <n v="6.23"/>
    <x v="0"/>
  </r>
  <r>
    <n v="420"/>
    <n v="4540.3408360128615"/>
    <n v="403.18971061093248"/>
    <n v="11.26"/>
    <x v="2"/>
  </r>
  <r>
    <n v="421"/>
    <n v="9588.2512755102034"/>
    <n v="1014.390306122449"/>
    <n v="9.4499999999999993"/>
    <x v="0"/>
  </r>
  <r>
    <n v="422"/>
    <n v="4559.0599489795923"/>
    <n v="464.52295918367349"/>
    <n v="9.81"/>
    <x v="1"/>
  </r>
  <r>
    <n v="423"/>
    <n v="10828.403397027601"/>
    <n v="1886.1305732484077"/>
    <n v="5.74"/>
    <x v="3"/>
  </r>
  <r>
    <n v="424"/>
    <n v="6925.7560975609758"/>
    <n v="773.42105263157896"/>
    <n v="8.9499999999999993"/>
    <x v="2"/>
  </r>
  <r>
    <n v="425"/>
    <n v="3237.6597938144332"/>
    <n v="434.38144329896909"/>
    <n v="7.45"/>
    <x v="2"/>
  </r>
  <r>
    <n v="426"/>
    <n v="5068.3966623876768"/>
    <n v="633.83953786906295"/>
    <n v="8"/>
    <x v="1"/>
  </r>
  <r>
    <n v="427"/>
    <n v="7643.2439807383626"/>
    <n v="771.09309791332259"/>
    <n v="9.91"/>
    <x v="1"/>
  </r>
  <r>
    <n v="428"/>
    <n v="6287.5048231511255"/>
    <n v="526.57556270096461"/>
    <n v="11.94"/>
    <x v="2"/>
  </r>
  <r>
    <n v="429"/>
    <n v="5321.144694533762"/>
    <n v="429.42604501607718"/>
    <n v="12.39"/>
    <x v="2"/>
  </r>
  <r>
    <n v="430"/>
    <n v="8632.471061093247"/>
    <n v="699.91318327974273"/>
    <n v="12.33"/>
    <x v="2"/>
  </r>
  <r>
    <n v="431"/>
    <n v="9524.9268292682918"/>
    <n v="1002.4544287548139"/>
    <n v="9.5"/>
    <x v="2"/>
  </r>
  <r>
    <n v="432"/>
    <n v="10982.871173469388"/>
    <n v="1554.7283163265306"/>
    <n v="7.06"/>
    <x v="1"/>
  </r>
  <r>
    <n v="433"/>
    <n v="5360.865429234339"/>
    <n v="615.73317865429237"/>
    <n v="8.7100000000000009"/>
    <x v="1"/>
  </r>
  <r>
    <n v="434"/>
    <n v="9904.8231511254016"/>
    <n v="741.6591639871383"/>
    <n v="13.35"/>
    <x v="1"/>
  </r>
  <r>
    <n v="435"/>
    <n v="3277.6919127086007"/>
    <n v="384.16302952503207"/>
    <n v="8.5299999999999994"/>
    <x v="1"/>
  </r>
  <r>
    <n v="436"/>
    <n v="5509.4846153846156"/>
    <n v="616.74102564102566"/>
    <n v="8.93"/>
    <x v="2"/>
  </r>
  <r>
    <n v="437"/>
    <n v="7366.7179487179483"/>
    <n v="726.9448717948718"/>
    <n v="10.130000000000001"/>
    <x v="0"/>
  </r>
  <r>
    <n v="438"/>
    <n v="5153.7230769230773"/>
    <n v="524.32692307692309"/>
    <n v="9.83"/>
    <x v="2"/>
  </r>
  <r>
    <n v="439"/>
    <n v="7294.9426020408164"/>
    <n v="885.13647959183675"/>
    <n v="8.24"/>
    <x v="1"/>
  </r>
  <r>
    <n v="440"/>
    <n v="5156.0785070785068"/>
    <n v="588.96267696267694"/>
    <n v="8.75"/>
    <x v="2"/>
  </r>
  <r>
    <n v="441"/>
    <n v="6328.3517329910137"/>
    <n v="699.65340179717589"/>
    <n v="9.0399999999999991"/>
    <x v="2"/>
  </r>
  <r>
    <n v="442"/>
    <n v="4379.133848133848"/>
    <n v="461.33590733590734"/>
    <n v="9.49"/>
    <x v="0"/>
  </r>
  <r>
    <n v="443"/>
    <n v="5251.0961538461543"/>
    <n v="488.85512820512821"/>
    <n v="10.74"/>
    <x v="2"/>
  </r>
  <r>
    <n v="444"/>
    <n v="12188.706563706564"/>
    <n v="1423.1209781209782"/>
    <n v="8.56"/>
    <x v="0"/>
  </r>
  <r>
    <n v="445"/>
    <n v="8600.1507731958754"/>
    <n v="1356.8659793814434"/>
    <n v="6.34"/>
    <x v="1"/>
  </r>
  <r>
    <n v="446"/>
    <n v="4932.165596919127"/>
    <n v="635.05648267008985"/>
    <n v="7.77"/>
    <x v="1"/>
  </r>
  <r>
    <n v="447"/>
    <n v="5307.6224489795923"/>
    <n v="619.39158163265301"/>
    <n v="8.57"/>
    <x v="1"/>
  </r>
  <r>
    <n v="448"/>
    <n v="8484.0654685494228"/>
    <n v="741.9216944801027"/>
    <n v="11.44"/>
    <x v="1"/>
  </r>
  <r>
    <n v="449"/>
    <n v="11253.74647887324"/>
    <n v="1534.9308578745199"/>
    <n v="7.33"/>
    <x v="1"/>
  </r>
  <r>
    <n v="450"/>
    <n v="8790.5135135135133"/>
    <n v="1089.900900900901"/>
    <n v="8.07"/>
    <x v="0"/>
  </r>
  <r>
    <n v="451"/>
    <n v="5439.3239436619715"/>
    <n v="458.66325224071704"/>
    <n v="11.86"/>
    <x v="1"/>
  </r>
  <r>
    <n v="452"/>
    <n v="5149.841836734694"/>
    <n v="478.32525510204084"/>
    <n v="10.77"/>
    <x v="1"/>
  </r>
  <r>
    <n v="453"/>
    <n v="7775.4464487034948"/>
    <n v="914.57497181510712"/>
    <n v="8.5"/>
    <x v="1"/>
  </r>
  <r>
    <n v="454"/>
    <n v="5794.123076923077"/>
    <n v="706.58333333333337"/>
    <n v="8.1999999999999993"/>
    <x v="1"/>
  </r>
  <r>
    <n v="455"/>
    <n v="7371.3912483912482"/>
    <n v="463.23423423423424"/>
    <n v="15.91"/>
    <x v="2"/>
  </r>
  <r>
    <n v="456"/>
    <n v="6190.5609756097565"/>
    <n v="895.31964056482673"/>
    <n v="6.91"/>
    <x v="1"/>
  </r>
  <r>
    <n v="457"/>
    <n v="4840.5530546623795"/>
    <n v="432.68971061093248"/>
    <n v="11.19"/>
    <x v="2"/>
  </r>
  <r>
    <n v="458"/>
    <n v="7582.1177976952622"/>
    <n v="702.67221510883485"/>
    <n v="10.79"/>
    <x v="0"/>
  </r>
  <r>
    <n v="459"/>
    <n v="9176.75"/>
    <n v="1130.2015306122448"/>
    <n v="8.1199999999999992"/>
    <x v="1"/>
  </r>
  <r>
    <n v="460"/>
    <n v="3736.0089743589742"/>
    <n v="345.28076923076924"/>
    <n v="10.82"/>
    <x v="1"/>
  </r>
  <r>
    <n v="461"/>
    <n v="4838.66537966538"/>
    <n v="476.52895752895751"/>
    <n v="10.15"/>
    <x v="2"/>
  </r>
  <r>
    <n v="462"/>
    <n v="4832.5884615384612"/>
    <n v="606.21538461538466"/>
    <n v="7.97"/>
    <x v="1"/>
  </r>
  <r>
    <n v="463"/>
    <n v="6094.6713735558405"/>
    <n v="969.42747111681638"/>
    <n v="6.29"/>
    <x v="1"/>
  </r>
  <r>
    <n v="464"/>
    <n v="10642.683673469388"/>
    <n v="1305.5931122448981"/>
    <n v="8.15"/>
    <x v="0"/>
  </r>
  <r>
    <n v="465"/>
    <n v="7762.806658130602"/>
    <n v="604.68758002560821"/>
    <n v="12.84"/>
    <x v="2"/>
  </r>
  <r>
    <n v="466"/>
    <n v="7712.3658536585363"/>
    <n v="755.76379974326062"/>
    <n v="10.199999999999999"/>
    <x v="1"/>
  </r>
  <r>
    <n v="467"/>
    <n v="13480.147625160462"/>
    <n v="1613.6508344030808"/>
    <n v="8.35"/>
    <x v="1"/>
  </r>
  <r>
    <n v="468"/>
    <n v="6669.6607142857147"/>
    <n v="754.5841836734694"/>
    <n v="8.84"/>
    <x v="0"/>
  </r>
  <r>
    <n v="469"/>
    <n v="11901.456632653062"/>
    <n v="1520.6301020408164"/>
    <n v="7.83"/>
    <x v="0"/>
  </r>
  <r>
    <n v="470"/>
    <n v="13111.742268041236"/>
    <n v="1774.9703608247423"/>
    <n v="7.39"/>
    <x v="1"/>
  </r>
  <r>
    <n v="471"/>
    <n v="7109.7524115755623"/>
    <n v="590.20418006430873"/>
    <n v="12.05"/>
    <x v="2"/>
  </r>
  <r>
    <n v="472"/>
    <n v="5204.6517857142853"/>
    <n v="692.95153061224494"/>
    <n v="7.51"/>
    <x v="0"/>
  </r>
  <r>
    <n v="473"/>
    <n v="3552.3016688061616"/>
    <n v="486.51861360718868"/>
    <n v="7.3"/>
    <x v="1"/>
  </r>
  <r>
    <n v="474"/>
    <n v="7526.8184143222506"/>
    <n v="736.80690537084399"/>
    <n v="10.220000000000001"/>
    <x v="0"/>
  </r>
  <r>
    <n v="475"/>
    <n v="6473.8144329896904"/>
    <n v="981.93427835051546"/>
    <n v="6.59"/>
    <x v="1"/>
  </r>
  <r>
    <n v="476"/>
    <n v="5851.6038461538465"/>
    <n v="649.79871794871792"/>
    <n v="9.01"/>
    <x v="2"/>
  </r>
  <r>
    <n v="477"/>
    <n v="6213.6881028938906"/>
    <n v="449.88745980707398"/>
    <n v="13.81"/>
    <x v="2"/>
  </r>
  <r>
    <n v="478"/>
    <n v="6806.9489795918371"/>
    <n v="699.39285714285711"/>
    <n v="9.73"/>
    <x v="2"/>
  </r>
  <r>
    <n v="479"/>
    <n v="11230.879795396419"/>
    <n v="1328.8286445012789"/>
    <n v="8.4499999999999993"/>
    <x v="1"/>
  </r>
  <r>
    <n v="480"/>
    <n v="4935.8903061224491"/>
    <n v="623.46045918367349"/>
    <n v="7.92"/>
    <x v="1"/>
  </r>
  <r>
    <n v="481"/>
    <n v="5155.3790012804093"/>
    <n v="476.71446862996157"/>
    <n v="10.81"/>
    <x v="0"/>
  </r>
  <r>
    <n v="482"/>
    <n v="8334.6176470588234"/>
    <n v="920.90664961636833"/>
    <n v="9.0500000000000007"/>
    <x v="0"/>
  </r>
  <r>
    <n v="483"/>
    <n v="4948.4243589743592"/>
    <n v="650.01794871794868"/>
    <n v="7.61"/>
    <x v="1"/>
  </r>
  <r>
    <n v="484"/>
    <n v="7717.6696428571431"/>
    <n v="739.86352040816325"/>
    <n v="10.43"/>
    <x v="1"/>
  </r>
  <r>
    <n v="485"/>
    <n v="4871.0112540192922"/>
    <n v="420.9871382636656"/>
    <n v="11.57"/>
    <x v="2"/>
  </r>
  <r>
    <n v="486"/>
    <n v="4266.7432605905005"/>
    <n v="520.02310654685493"/>
    <n v="8.1999999999999993"/>
    <x v="1"/>
  </r>
  <r>
    <n v="487"/>
    <n v="6999.2997448979595"/>
    <n v="676.77423469387759"/>
    <n v="10.34"/>
    <x v="2"/>
  </r>
  <r>
    <n v="488"/>
    <n v="3686.3188775510203"/>
    <n v="388.0012755102041"/>
    <n v="9.5"/>
    <x v="1"/>
  </r>
  <r>
    <n v="489"/>
    <n v="7306.3679487179488"/>
    <n v="649.62948717948723"/>
    <n v="11.25"/>
    <x v="1"/>
  </r>
  <r>
    <n v="490"/>
    <n v="8249.7282958199357"/>
    <n v="1063.7202572347267"/>
    <n v="7.76"/>
    <x v="1"/>
  </r>
  <r>
    <n v="491"/>
    <n v="6746.4620334620331"/>
    <n v="527.29214929214925"/>
    <n v="12.79"/>
    <x v="2"/>
  </r>
  <r>
    <n v="492"/>
    <n v="7859.1254071661242"/>
    <n v="1156.2475570032573"/>
    <n v="6.8"/>
    <x v="1"/>
  </r>
  <r>
    <n v="493"/>
    <n v="8295.668806161746"/>
    <n v="808.26187419768939"/>
    <n v="10.26"/>
    <x v="2"/>
  </r>
  <r>
    <n v="494"/>
    <n v="7649.2961783439487"/>
    <n v="1079.6061571125265"/>
    <n v="7.09"/>
    <x v="3"/>
  </r>
  <r>
    <n v="495"/>
    <n v="5154.7181467181463"/>
    <n v="394.90347490347489"/>
    <n v="13.05"/>
    <x v="2"/>
  </r>
  <r>
    <n v="496"/>
    <n v="7728.9005102040819"/>
    <n v="830.25255102040819"/>
    <n v="9.31"/>
    <x v="2"/>
  </r>
  <r>
    <n v="497"/>
    <n v="9062.1229193341878"/>
    <n v="1116.3572343149808"/>
    <n v="8.1199999999999992"/>
    <x v="1"/>
  </r>
  <r>
    <n v="498"/>
    <n v="6996.5337620578775"/>
    <n v="884.56752411575565"/>
    <n v="7.91"/>
    <x v="1"/>
  </r>
  <r>
    <n v="499"/>
    <n v="5155.9884169884172"/>
    <n v="737.6782496782497"/>
    <n v="6.99"/>
    <x v="0"/>
  </r>
  <r>
    <n v="500"/>
    <n v="5354.0369774919618"/>
    <n v="395.55627009646304"/>
    <n v="13.54"/>
    <x v="2"/>
  </r>
  <r>
    <n v="501"/>
    <n v="5378.1800643086817"/>
    <n v="587.81028938906752"/>
    <n v="9.15"/>
    <x v="1"/>
  </r>
  <r>
    <n v="502"/>
    <n v="10823.524547803618"/>
    <n v="1519.6537467700259"/>
    <n v="7.12"/>
    <x v="1"/>
  </r>
  <r>
    <n v="503"/>
    <n v="6698.1987179487178"/>
    <n v="470.59102564102562"/>
    <n v="14.23"/>
    <x v="2"/>
  </r>
  <r>
    <n v="504"/>
    <n v="6673.158163265306"/>
    <n v="953.40561224489795"/>
    <n v="7"/>
    <x v="0"/>
  </r>
  <r>
    <n v="505"/>
    <n v="4776.2805662805658"/>
    <n v="594.61132561132558"/>
    <n v="8.0299999999999994"/>
    <x v="1"/>
  </r>
  <r>
    <n v="506"/>
    <n v="7581.3440308087293"/>
    <n v="841.70218228498072"/>
    <n v="9.01"/>
    <x v="1"/>
  </r>
  <r>
    <n v="507"/>
    <n v="8455.7702182284975"/>
    <n v="663.77792041078305"/>
    <n v="12.74"/>
    <x v="1"/>
  </r>
  <r>
    <n v="508"/>
    <n v="6767.6997422680415"/>
    <n v="662.51288659793818"/>
    <n v="10.220000000000001"/>
    <x v="1"/>
  </r>
  <r>
    <n v="509"/>
    <n v="6125.0627400768244"/>
    <n v="518.31241997439179"/>
    <n v="11.82"/>
    <x v="1"/>
  </r>
  <r>
    <n v="510"/>
    <n v="8196.7394094993579"/>
    <n v="842.2002567394095"/>
    <n v="9.73"/>
    <x v="1"/>
  </r>
  <r>
    <n v="511"/>
    <n v="5662.3201530612241"/>
    <n v="810.59821428571433"/>
    <n v="6.99"/>
    <x v="1"/>
  </r>
  <r>
    <n v="512"/>
    <n v="5510.9785234899327"/>
    <n v="1287.9718120805369"/>
    <n v="4.28"/>
    <x v="3"/>
  </r>
  <r>
    <n v="513"/>
    <n v="18179.089285714286"/>
    <n v="2096.3354591836733"/>
    <n v="8.67"/>
    <x v="1"/>
  </r>
  <r>
    <n v="514"/>
    <n v="5756.009646302251"/>
    <n v="603.96623794212223"/>
    <n v="9.5299999999999994"/>
    <x v="0"/>
  </r>
  <r>
    <n v="515"/>
    <n v="9058.1527599486526"/>
    <n v="738.30808729139926"/>
    <n v="12.27"/>
    <x v="2"/>
  </r>
  <r>
    <n v="516"/>
    <n v="5879.0847240051344"/>
    <n v="760.54813863928109"/>
    <n v="7.73"/>
    <x v="1"/>
  </r>
  <r>
    <n v="517"/>
    <n v="5962.438735177866"/>
    <n v="650.92226613965749"/>
    <n v="9.16"/>
    <x v="1"/>
  </r>
  <r>
    <n v="518"/>
    <n v="5865.1235955056181"/>
    <n v="504.30979133226322"/>
    <n v="11.63"/>
    <x v="2"/>
  </r>
  <r>
    <n v="519"/>
    <n v="5306.3201530612241"/>
    <n v="559.07653061224494"/>
    <n v="9.49"/>
    <x v="0"/>
  </r>
  <r>
    <n v="520"/>
    <n v="3869.7321428571427"/>
    <n v="413.05739795918367"/>
    <n v="9.3699999999999992"/>
    <x v="1"/>
  </r>
  <r>
    <n v="521"/>
    <n v="5181.0141206675225"/>
    <n v="426.49293966623878"/>
    <n v="12.15"/>
    <x v="2"/>
  </r>
  <r>
    <n v="522"/>
    <n v="8222.889245585875"/>
    <n v="633.02247191011236"/>
    <n v="12.99"/>
    <x v="2"/>
  </r>
  <r>
    <n v="523"/>
    <n v="15530.605867346938"/>
    <n v="1782.9119897959183"/>
    <n v="8.7100000000000009"/>
    <x v="0"/>
  </r>
  <r>
    <n v="524"/>
    <n v="7710.8195232690123"/>
    <n v="818.50170261066967"/>
    <n v="9.42"/>
    <x v="1"/>
  </r>
  <r>
    <n v="525"/>
    <n v="10233.026819923372"/>
    <n v="875.56704980842915"/>
    <n v="11.69"/>
    <x v="2"/>
  </r>
  <r>
    <n v="526"/>
    <n v="10630.231457800512"/>
    <n v="1456.700767263427"/>
    <n v="7.3"/>
    <x v="1"/>
  </r>
  <r>
    <n v="527"/>
    <n v="10734.693982074265"/>
    <n v="1000.4903969270166"/>
    <n v="10.73"/>
    <x v="2"/>
  </r>
  <r>
    <n v="528"/>
    <n v="10704.444159178434"/>
    <n v="955.44929396662383"/>
    <n v="11.2"/>
    <x v="1"/>
  </r>
  <r>
    <n v="529"/>
    <n v="7823.783163265306"/>
    <n v="761.19260204081638"/>
    <n v="10.28"/>
    <x v="2"/>
  </r>
  <r>
    <n v="530"/>
    <n v="4634.3233995584987"/>
    <n v="750.80573951434883"/>
    <n v="6.17"/>
    <x v="1"/>
  </r>
  <r>
    <n v="531"/>
    <n v="4901.9349489795923"/>
    <n v="600.60714285714289"/>
    <n v="8.16"/>
    <x v="1"/>
  </r>
  <r>
    <n v="532"/>
    <n v="10894.865211810013"/>
    <n v="1278.9075738125803"/>
    <n v="8.52"/>
    <x v="1"/>
  </r>
  <r>
    <n v="533"/>
    <n v="9659.6486486486483"/>
    <n v="902.23166023166027"/>
    <n v="10.71"/>
    <x v="1"/>
  </r>
  <r>
    <n v="534"/>
    <n v="7519.5569823434989"/>
    <n v="568.69662921348311"/>
    <n v="13.22"/>
    <x v="2"/>
  </r>
  <r>
    <n v="535"/>
    <n v="8115.7715019255456"/>
    <n v="922.61360718870344"/>
    <n v="8.8000000000000007"/>
    <x v="1"/>
  </r>
  <r>
    <n v="536"/>
    <n v="8323.6136071887031"/>
    <n v="883.0346598202824"/>
    <n v="9.43"/>
    <x v="1"/>
  </r>
  <r>
    <n v="537"/>
    <n v="5580.1788931788933"/>
    <n v="604.23294723294725"/>
    <n v="9.24"/>
    <x v="1"/>
  </r>
  <r>
    <n v="538"/>
    <n v="3859.0242346938776"/>
    <n v="567.92474489795916"/>
    <n v="6.79"/>
    <x v="1"/>
  </r>
  <r>
    <n v="539"/>
    <n v="11310.963022508038"/>
    <n v="1142.2797427652733"/>
    <n v="9.9"/>
    <x v="1"/>
  </r>
  <r>
    <n v="540"/>
    <n v="5648.990353697749"/>
    <n v="391.31189710610931"/>
    <n v="14.44"/>
    <x v="2"/>
  </r>
  <r>
    <n v="541"/>
    <n v="6720.8125802310651"/>
    <n v="857.08344030808735"/>
    <n v="7.84"/>
    <x v="1"/>
  </r>
  <r>
    <n v="542"/>
    <n v="6246.6414790996787"/>
    <n v="531.63987138263667"/>
    <n v="11.75"/>
    <x v="1"/>
  </r>
  <r>
    <n v="543"/>
    <n v="2790.3802816901407"/>
    <n v="240.18309859154928"/>
    <n v="11.62"/>
    <x v="0"/>
  </r>
  <r>
    <n v="544"/>
    <n v="14094.498717948718"/>
    <n v="1845.071794871795"/>
    <n v="7.64"/>
    <x v="1"/>
  </r>
  <r>
    <n v="545"/>
    <n v="10635.256739409499"/>
    <n v="1026.8177150192555"/>
    <n v="10.36"/>
    <x v="1"/>
  </r>
  <r>
    <n v="546"/>
    <n v="13681.53443877551"/>
    <n v="1621.279336734694"/>
    <n v="8.44"/>
    <x v="1"/>
  </r>
  <r>
    <n v="547"/>
    <n v="5752.490353697749"/>
    <n v="442.24758842443731"/>
    <n v="13.01"/>
    <x v="2"/>
  </r>
  <r>
    <n v="548"/>
    <n v="5066.4265279583879"/>
    <n v="400.40052015604681"/>
    <n v="12.65"/>
    <x v="2"/>
  </r>
  <r>
    <n v="549"/>
    <n v="4642.716836734694"/>
    <n v="547.71301020408168"/>
    <n v="8.48"/>
    <x v="1"/>
  </r>
  <r>
    <n v="550"/>
    <n v="5973.6274007682459"/>
    <n v="496.6491677336748"/>
    <n v="12.03"/>
    <x v="2"/>
  </r>
  <r>
    <n v="551"/>
    <n v="6559.3788265306121"/>
    <n v="987.74234693877554"/>
    <n v="6.64"/>
    <x v="1"/>
  </r>
  <r>
    <n v="552"/>
    <n v="7721.8668373879646"/>
    <n v="689.89628681177976"/>
    <n v="11.19"/>
    <x v="1"/>
  </r>
  <r>
    <n v="553"/>
    <n v="7038.598455598456"/>
    <n v="638.7464607464608"/>
    <n v="11.02"/>
    <x v="0"/>
  </r>
  <r>
    <n v="554"/>
    <n v="4481.0140306122448"/>
    <n v="546.01530612244903"/>
    <n v="8.2100000000000009"/>
    <x v="0"/>
  </r>
  <r>
    <n v="555"/>
    <n v="5173.8603531300159"/>
    <n v="479.02568218298558"/>
    <n v="10.8"/>
    <x v="2"/>
  </r>
  <r>
    <n v="556"/>
    <n v="7178.7535121328228"/>
    <n v="830.72413793103453"/>
    <n v="8.64"/>
    <x v="2"/>
  </r>
  <r>
    <n v="557"/>
    <n v="4383.0796915167093"/>
    <n v="676.01670951156814"/>
    <n v="6.48"/>
    <x v="1"/>
  </r>
  <r>
    <n v="558"/>
    <n v="3241.5242346938776"/>
    <n v="453.02933673469386"/>
    <n v="7.16"/>
    <x v="1"/>
  </r>
  <r>
    <n v="559"/>
    <n v="5882.9615384615381"/>
    <n v="750.27820512820517"/>
    <n v="7.84"/>
    <x v="2"/>
  </r>
  <r>
    <n v="560"/>
    <n v="13612.859437751003"/>
    <n v="1640.2771084337348"/>
    <n v="8.3000000000000007"/>
    <x v="0"/>
  </r>
  <r>
    <n v="561"/>
    <n v="6913.8267008985877"/>
    <n v="682.91527599486517"/>
    <n v="10.119999999999999"/>
    <x v="2"/>
  </r>
  <r>
    <n v="562"/>
    <n v="17969.556263269638"/>
    <n v="3105.0530785562632"/>
    <n v="5.79"/>
    <x v="3"/>
  </r>
  <r>
    <n v="563"/>
    <n v="5513.4922680412374"/>
    <n v="702.62371134020623"/>
    <n v="7.85"/>
    <x v="1"/>
  </r>
  <r>
    <n v="564"/>
    <n v="5528.1155327342749"/>
    <n v="488.63414634146341"/>
    <n v="11.31"/>
    <x v="2"/>
  </r>
  <r>
    <n v="565"/>
    <n v="6636.4172015404365"/>
    <n v="792.31707317073176"/>
    <n v="8.3800000000000008"/>
    <x v="1"/>
  </r>
  <r>
    <n v="566"/>
    <n v="4904.6390306122448"/>
    <n v="544.84311224489795"/>
    <n v="9"/>
    <x v="1"/>
  </r>
  <r>
    <n v="567"/>
    <n v="5241.5044929396663"/>
    <n v="671.41976893453148"/>
    <n v="7.81"/>
    <x v="0"/>
  </r>
  <r>
    <n v="568"/>
    <n v="4877.4967989756724"/>
    <n v="413.90012804097313"/>
    <n v="11.78"/>
    <x v="2"/>
  </r>
  <r>
    <n v="569"/>
    <n v="4519.5561224489793"/>
    <n v="652.85204081632651"/>
    <n v="6.92"/>
    <x v="1"/>
  </r>
  <r>
    <n v="570"/>
    <n v="4535.4043645699612"/>
    <n v="661.790757381258"/>
    <n v="6.85"/>
    <x v="1"/>
  </r>
  <r>
    <n v="571"/>
    <n v="7742.7508038585211"/>
    <n v="575.63826366559488"/>
    <n v="13.45"/>
    <x v="2"/>
  </r>
  <r>
    <n v="572"/>
    <n v="6888.75"/>
    <n v="571.51546391752572"/>
    <n v="12.05"/>
    <x v="2"/>
  </r>
  <r>
    <n v="573"/>
    <n v="3974.7733118971059"/>
    <n v="335.40514469453376"/>
    <n v="11.85"/>
    <x v="1"/>
  </r>
  <r>
    <n v="574"/>
    <n v="8898.2175032175037"/>
    <n v="666.57400257400252"/>
    <n v="13.35"/>
    <x v="2"/>
  </r>
  <r>
    <n v="575"/>
    <n v="5367.5666131621192"/>
    <n v="492.95666131621186"/>
    <n v="10.89"/>
    <x v="1"/>
  </r>
  <r>
    <n v="576"/>
    <n v="6982.5178571428569"/>
    <n v="965.07015306122446"/>
    <n v="7.24"/>
    <x v="0"/>
  </r>
  <r>
    <n v="577"/>
    <n v="4953.4170918367345"/>
    <n v="583.3762755102041"/>
    <n v="8.49"/>
    <x v="1"/>
  </r>
  <r>
    <n v="578"/>
    <n v="8164.3917869034403"/>
    <n v="773.63928967813536"/>
    <n v="10.55"/>
    <x v="2"/>
  </r>
  <r>
    <n v="579"/>
    <n v="8294.3478818998719"/>
    <n v="911.40179717586648"/>
    <n v="9.1"/>
    <x v="0"/>
  </r>
  <r>
    <n v="580"/>
    <n v="10197.661989795919"/>
    <n v="1602.7474489795918"/>
    <n v="6.36"/>
    <x v="1"/>
  </r>
  <r>
    <n v="581"/>
    <n v="5333.7188703465981"/>
    <n v="587.64698331193836"/>
    <n v="9.08"/>
    <x v="1"/>
  </r>
  <r>
    <n v="582"/>
    <n v="7023.0831202046038"/>
    <n v="863.31841432225065"/>
    <n v="8.1300000000000008"/>
    <x v="1"/>
  </r>
  <r>
    <n v="583"/>
    <n v="4311.9076923076927"/>
    <n v="449.08076923076925"/>
    <n v="9.6"/>
    <x v="1"/>
  </r>
  <r>
    <n v="584"/>
    <n v="4734.8962868117796"/>
    <n v="433.43405889884764"/>
    <n v="10.92"/>
    <x v="2"/>
  </r>
  <r>
    <n v="585"/>
    <n v="5675.1568877551017"/>
    <n v="862.9987244897959"/>
    <n v="6.58"/>
    <x v="2"/>
  </r>
  <r>
    <n v="586"/>
    <n v="15131.960051546392"/>
    <n v="2361.4149484536083"/>
    <n v="6.41"/>
    <x v="1"/>
  </r>
  <r>
    <n v="587"/>
    <n v="9663.2857142857138"/>
    <n v="685.68860353130015"/>
    <n v="14.09"/>
    <x v="2"/>
  </r>
  <r>
    <n v="588"/>
    <n v="6154.6109693877552"/>
    <n v="661.1466836734694"/>
    <n v="9.31"/>
    <x v="2"/>
  </r>
  <r>
    <n v="589"/>
    <n v="4672.6221928665782"/>
    <n v="493.86789960369879"/>
    <n v="9.4600000000000009"/>
    <x v="1"/>
  </r>
  <r>
    <n v="590"/>
    <n v="4984.1698841698844"/>
    <n v="391.59974259974263"/>
    <n v="12.73"/>
    <x v="2"/>
  </r>
  <r>
    <n v="591"/>
    <n v="5700.7052767052764"/>
    <n v="498.72200772200773"/>
    <n v="11.43"/>
    <x v="1"/>
  </r>
  <r>
    <n v="592"/>
    <n v="4448.5109114249035"/>
    <n v="570.01026957637998"/>
    <n v="7.8"/>
    <x v="1"/>
  </r>
  <r>
    <n v="593"/>
    <n v="9507.9566326530621"/>
    <n v="1231.766581632653"/>
    <n v="7.72"/>
    <x v="1"/>
  </r>
  <r>
    <n v="594"/>
    <n v="4155.8660714285716"/>
    <n v="456.67602040816325"/>
    <n v="9.1"/>
    <x v="1"/>
  </r>
  <r>
    <n v="595"/>
    <n v="15019.109693877552"/>
    <n v="1763.4132653061224"/>
    <n v="8.52"/>
    <x v="0"/>
  </r>
  <r>
    <n v="596"/>
    <n v="4505.8188775510207"/>
    <n v="698.38647959183675"/>
    <n v="6.45"/>
    <x v="0"/>
  </r>
  <r>
    <n v="597"/>
    <n v="5080.2246469833117"/>
    <n v="727.52503209242616"/>
    <n v="6.98"/>
    <x v="1"/>
  </r>
  <r>
    <n v="598"/>
    <n v="5892.2926045016075"/>
    <n v="728.60128617363341"/>
    <n v="8.09"/>
    <x v="0"/>
  </r>
  <r>
    <n v="599"/>
    <n v="9769.7270408163258"/>
    <n v="875.5637755102041"/>
    <n v="11.16"/>
    <x v="2"/>
  </r>
  <r>
    <n v="600"/>
    <n v="6996.6173469387759"/>
    <n v="619.25382653061229"/>
    <n v="11.3"/>
    <x v="2"/>
  </r>
  <r>
    <n v="601"/>
    <n v="4875.7695262483994"/>
    <n v="394.29065300896286"/>
    <n v="12.37"/>
    <x v="2"/>
  </r>
  <r>
    <n v="602"/>
    <n v="6300.1677336747762"/>
    <n v="614.19718309859149"/>
    <n v="10.26"/>
    <x v="1"/>
  </r>
  <r>
    <n v="603"/>
    <n v="6933.3141361256548"/>
    <n v="945.63481675392666"/>
    <n v="7.33"/>
    <x v="1"/>
  </r>
  <r>
    <n v="604"/>
    <n v="7963.9887459807078"/>
    <n v="591.7636655948553"/>
    <n v="13.46"/>
    <x v="2"/>
  </r>
  <r>
    <n v="605"/>
    <n v="7026.7352185089976"/>
    <n v="508.71465295629821"/>
    <n v="13.81"/>
    <x v="2"/>
  </r>
  <r>
    <n v="606"/>
    <n v="5839.2104591836733"/>
    <n v="620.82142857142856"/>
    <n v="9.41"/>
    <x v="1"/>
  </r>
  <r>
    <n v="607"/>
    <n v="3901.9104859335039"/>
    <n v="414.07544757033247"/>
    <n v="9.42"/>
    <x v="1"/>
  </r>
  <r>
    <n v="608"/>
    <n v="9326.9717948717953"/>
    <n v="942.57564102564106"/>
    <n v="9.9"/>
    <x v="1"/>
  </r>
  <r>
    <n v="609"/>
    <n v="4638.0484693877552"/>
    <n v="504.61989795918367"/>
    <n v="9.19"/>
    <x v="1"/>
  </r>
  <r>
    <n v="610"/>
    <n v="4197.6302952503211"/>
    <n v="520.39922978177151"/>
    <n v="8.07"/>
    <x v="1"/>
  </r>
  <r>
    <n v="611"/>
    <n v="5792.3038585209006"/>
    <n v="490.52411575562701"/>
    <n v="11.81"/>
    <x v="1"/>
  </r>
  <r>
    <n v="612"/>
    <n v="6816.0882825040126"/>
    <n v="424.17817014446229"/>
    <n v="16.07"/>
    <x v="2"/>
  </r>
  <r>
    <n v="613"/>
    <n v="6728.3721227621481"/>
    <n v="1000.8503836317135"/>
    <n v="6.72"/>
    <x v="0"/>
  </r>
  <r>
    <n v="614"/>
    <n v="6590.6153846153848"/>
    <n v="941.18589743589746"/>
    <n v="7"/>
    <x v="1"/>
  </r>
  <r>
    <n v="615"/>
    <n v="9712.4212548015366"/>
    <n v="1240.1075544174137"/>
    <n v="7.83"/>
    <x v="2"/>
  </r>
  <r>
    <n v="616"/>
    <n v="8487.5121951219517"/>
    <n v="830.42105263157896"/>
    <n v="10.220000000000001"/>
    <x v="1"/>
  </r>
  <r>
    <n v="617"/>
    <n v="6359.1653846153849"/>
    <n v="574.6948717948718"/>
    <n v="11.07"/>
    <x v="1"/>
  </r>
  <r>
    <n v="618"/>
    <n v="6830.5787451984634"/>
    <n v="505.56722151088348"/>
    <n v="13.51"/>
    <x v="2"/>
  </r>
  <r>
    <n v="619"/>
    <n v="4303.6028938906757"/>
    <n v="428.88263665594855"/>
    <n v="10.029999999999999"/>
    <x v="1"/>
  </r>
  <r>
    <n v="620"/>
    <n v="7773.7668810289388"/>
    <n v="709.35852090032154"/>
    <n v="10.96"/>
    <x v="2"/>
  </r>
  <r>
    <n v="621"/>
    <n v="5916.2246469833117"/>
    <n v="806.49679075738129"/>
    <n v="7.34"/>
    <x v="1"/>
  </r>
  <r>
    <n v="622"/>
    <n v="4317.9617346938776"/>
    <n v="430"/>
    <n v="10.039999999999999"/>
    <x v="1"/>
  </r>
  <r>
    <n v="623"/>
    <n v="7127.467447916667"/>
    <n v="832.20963541666663"/>
    <n v="8.56"/>
    <x v="1"/>
  </r>
  <r>
    <n v="624"/>
    <n v="7019.0667522464701"/>
    <n v="682.88318356867774"/>
    <n v="10.28"/>
    <x v="1"/>
  </r>
  <r>
    <n v="625"/>
    <n v="6300.1951219512193"/>
    <n v="616.85365853658539"/>
    <n v="10.210000000000001"/>
    <x v="1"/>
  </r>
  <r>
    <n v="626"/>
    <n v="9382.5294871794868"/>
    <n v="829.62435897435898"/>
    <n v="11.31"/>
    <x v="0"/>
  </r>
  <r>
    <n v="627"/>
    <n v="5991.2522407170291"/>
    <n v="615.61715749039695"/>
    <n v="9.73"/>
    <x v="0"/>
  </r>
  <r>
    <n v="628"/>
    <n v="6231.0829081632655"/>
    <n v="762.9387755102041"/>
    <n v="8.17"/>
    <x v="1"/>
  </r>
  <r>
    <n v="629"/>
    <n v="7652.7395498392279"/>
    <n v="678.63826366559488"/>
    <n v="11.28"/>
    <x v="2"/>
  </r>
  <r>
    <n v="630"/>
    <n v="6935.8523748395382"/>
    <n v="793.57637997432607"/>
    <n v="8.74"/>
    <x v="1"/>
  </r>
  <r>
    <n v="631"/>
    <n v="5400.3073979591836"/>
    <n v="638.44132653061229"/>
    <n v="8.4600000000000009"/>
    <x v="2"/>
  </r>
  <r>
    <n v="632"/>
    <n v="7028.7742346938776"/>
    <n v="903.61352040816325"/>
    <n v="7.78"/>
    <x v="1"/>
  </r>
  <r>
    <n v="633"/>
    <n v="7207.2170418006435"/>
    <n v="549.77974276527334"/>
    <n v="13.11"/>
    <x v="2"/>
  </r>
  <r>
    <n v="634"/>
    <n v="6713.2897435897439"/>
    <n v="651.20256410256411"/>
    <n v="10.31"/>
    <x v="2"/>
  </r>
  <r>
    <n v="635"/>
    <n v="5909.2448717948719"/>
    <n v="596.7166666666667"/>
    <n v="9.9"/>
    <x v="1"/>
  </r>
  <r>
    <n v="636"/>
    <n v="5927.6998394863567"/>
    <n v="714.82182985553777"/>
    <n v="8.2899999999999991"/>
    <x v="0"/>
  </r>
  <r>
    <n v="637"/>
    <n v="8707.2636655948554"/>
    <n v="693.06430868167206"/>
    <n v="12.56"/>
    <x v="2"/>
  </r>
  <r>
    <n v="638"/>
    <n v="6009.6051779935278"/>
    <n v="507.71359223300971"/>
    <n v="11.84"/>
    <x v="2"/>
  </r>
  <r>
    <n v="639"/>
    <n v="4734.6970474967911"/>
    <n v="485.98331193838254"/>
    <n v="9.74"/>
    <x v="1"/>
  </r>
  <r>
    <n v="640"/>
    <n v="11533.978177150193"/>
    <n v="879.50834403080876"/>
    <n v="13.11"/>
    <x v="2"/>
  </r>
  <r>
    <n v="641"/>
    <n v="5764.2952503209244"/>
    <n v="538.06418485237486"/>
    <n v="10.71"/>
    <x v="1"/>
  </r>
  <r>
    <n v="642"/>
    <n v="3652.7098844672655"/>
    <n v="479.88189987163031"/>
    <n v="7.61"/>
    <x v="0"/>
  </r>
  <r>
    <n v="643"/>
    <n v="7994.4311224489793"/>
    <n v="1020.2436224489796"/>
    <n v="7.84"/>
    <x v="1"/>
  </r>
  <r>
    <n v="644"/>
    <n v="9353.0574324324316"/>
    <n v="1029.5135135135135"/>
    <n v="9.08"/>
    <x v="0"/>
  </r>
  <r>
    <n v="645"/>
    <n v="10730.2574002574"/>
    <n v="1327.2921492921494"/>
    <n v="8.08"/>
    <x v="1"/>
  </r>
  <r>
    <n v="646"/>
    <n v="5025.9260450160773"/>
    <n v="706.40836012861735"/>
    <n v="7.11"/>
    <x v="1"/>
  </r>
  <r>
    <n v="647"/>
    <n v="5774.5752551020405"/>
    <n v="677.49107142857144"/>
    <n v="8.52"/>
    <x v="1"/>
  </r>
  <r>
    <n v="648"/>
    <n v="6573.9961734693879"/>
    <n v="609.82142857142856"/>
    <n v="10.78"/>
    <x v="2"/>
  </r>
  <r>
    <n v="649"/>
    <n v="3683.7923076923075"/>
    <n v="386.67820512820515"/>
    <n v="9.5299999999999994"/>
    <x v="1"/>
  </r>
  <r>
    <n v="650"/>
    <n v="6391.0080385852089"/>
    <n v="663.82475884244377"/>
    <n v="9.6300000000000008"/>
    <x v="1"/>
  </r>
  <r>
    <n v="651"/>
    <n v="7615.8652118100126"/>
    <n v="948.41976893453148"/>
    <n v="8.0299999999999994"/>
    <x v="1"/>
  </r>
  <r>
    <n v="652"/>
    <n v="6637.6329923273661"/>
    <n v="681.01534526854221"/>
    <n v="9.75"/>
    <x v="1"/>
  </r>
  <r>
    <n v="653"/>
    <n v="5915.5044929396663"/>
    <n v="500.17971758664953"/>
    <n v="11.83"/>
    <x v="2"/>
  </r>
  <r>
    <n v="654"/>
    <n v="6475.1525641025637"/>
    <n v="684.18333333333328"/>
    <n v="9.4600000000000009"/>
    <x v="0"/>
  </r>
  <r>
    <n v="655"/>
    <n v="8031.7111681643137"/>
    <n v="687.44672657252886"/>
    <n v="11.68"/>
    <x v="2"/>
  </r>
  <r>
    <n v="656"/>
    <n v="3245.192061459667"/>
    <n v="379.16645326504482"/>
    <n v="8.56"/>
    <x v="2"/>
  </r>
  <r>
    <n v="657"/>
    <n v="6054.7152061855668"/>
    <n v="766.15463917525778"/>
    <n v="7.9"/>
    <x v="0"/>
  </r>
  <r>
    <n v="658"/>
    <n v="6058.8305519897303"/>
    <n v="598.62644415917839"/>
    <n v="10.119999999999999"/>
    <x v="2"/>
  </r>
  <r>
    <n v="659"/>
    <n v="5643.9667093469907"/>
    <n v="685.07170294494233"/>
    <n v="8.24"/>
    <x v="2"/>
  </r>
  <r>
    <n v="660"/>
    <n v="4616.5996784565914"/>
    <n v="497.46945337620576"/>
    <n v="9.2799999999999994"/>
    <x v="1"/>
  </r>
  <r>
    <n v="661"/>
    <n v="7157.2210663198957"/>
    <n v="589.0884265279584"/>
    <n v="12.15"/>
    <x v="2"/>
  </r>
  <r>
    <n v="662"/>
    <n v="8439.5242346938776"/>
    <n v="771.34566326530614"/>
    <n v="10.94"/>
    <x v="2"/>
  </r>
  <r>
    <n v="663"/>
    <n v="4786.2258916776755"/>
    <n v="652.92602377807134"/>
    <n v="7.33"/>
    <x v="1"/>
  </r>
  <r>
    <n v="664"/>
    <n v="4946.3564102564105"/>
    <n v="602.40897435897432"/>
    <n v="8.2100000000000009"/>
    <x v="2"/>
  </r>
  <r>
    <n v="665"/>
    <n v="8207.2529032258062"/>
    <n v="1259.1896774193549"/>
    <n v="6.52"/>
    <x v="1"/>
  </r>
  <r>
    <n v="666"/>
    <n v="7016.6100386100388"/>
    <n v="654.83783783783781"/>
    <n v="10.72"/>
    <x v="0"/>
  </r>
  <r>
    <n v="667"/>
    <n v="8786.5019157088118"/>
    <n v="793.330779054917"/>
    <n v="11.08"/>
    <x v="2"/>
  </r>
  <r>
    <n v="668"/>
    <n v="8940.8533163265311"/>
    <n v="1156.7295918367347"/>
    <n v="7.73"/>
    <x v="0"/>
  </r>
  <r>
    <n v="669"/>
    <n v="4514.2347266881025"/>
    <n v="393.92122186495175"/>
    <n v="11.46"/>
    <x v="2"/>
  </r>
  <r>
    <n v="670"/>
    <n v="6589.9484702093396"/>
    <n v="700.59581320450889"/>
    <n v="9.41"/>
    <x v="1"/>
  </r>
  <r>
    <n v="671"/>
    <n v="5935.5"/>
    <n v="593.85691318327974"/>
    <n v="9.99"/>
    <x v="1"/>
  </r>
  <r>
    <n v="672"/>
    <n v="8837.1051282051285"/>
    <n v="1389.2141025641026"/>
    <n v="6.36"/>
    <x v="0"/>
  </r>
  <r>
    <n v="673"/>
    <n v="7126.0180180180178"/>
    <n v="582.73359073359075"/>
    <n v="12.23"/>
    <x v="2"/>
  </r>
  <r>
    <n v="674"/>
    <n v="8193.3498659517427"/>
    <n v="1014.1219839142091"/>
    <n v="8.08"/>
    <x v="1"/>
  </r>
  <r>
    <n v="675"/>
    <n v="4278.1895006402046"/>
    <n v="448.37131882202306"/>
    <n v="9.5399999999999991"/>
    <x v="1"/>
  </r>
  <r>
    <n v="676"/>
    <n v="7687.4640522875816"/>
    <n v="1687.5936819172114"/>
    <n v="4.5599999999999996"/>
    <x v="3"/>
  </r>
  <r>
    <n v="677"/>
    <n v="7938.9823151125402"/>
    <n v="637.67363344051444"/>
    <n v="12.45"/>
    <x v="2"/>
  </r>
  <r>
    <n v="678"/>
    <n v="7299.9370988446726"/>
    <n v="825.31964056482673"/>
    <n v="8.84"/>
    <x v="0"/>
  </r>
  <r>
    <n v="679"/>
    <n v="9943.9247448979586"/>
    <n v="1061.4183673469388"/>
    <n v="9.3699999999999992"/>
    <x v="1"/>
  </r>
  <r>
    <n v="680"/>
    <n v="5205.3061224489793"/>
    <n v="791.01913265306121"/>
    <n v="6.58"/>
    <x v="0"/>
  </r>
  <r>
    <n v="681"/>
    <n v="3561.5071707953066"/>
    <n v="488.9400260756193"/>
    <n v="7.28"/>
    <x v="1"/>
  </r>
  <r>
    <n v="682"/>
    <n v="11207.408704883228"/>
    <n v="1758.8428874734607"/>
    <n v="6.37"/>
    <x v="3"/>
  </r>
  <r>
    <n v="683"/>
    <n v="9147.0854591836742"/>
    <n v="878.30229591836735"/>
    <n v="10.41"/>
    <x v="1"/>
  </r>
  <r>
    <n v="684"/>
    <n v="7721.3665594855302"/>
    <n v="619.2106109324759"/>
    <n v="12.47"/>
    <x v="2"/>
  </r>
  <r>
    <n v="685"/>
    <n v="6630.5507060333757"/>
    <n v="612.45314505776639"/>
    <n v="10.83"/>
    <x v="1"/>
  </r>
  <r>
    <n v="686"/>
    <n v="6250.4102564102568"/>
    <n v="753.71794871794873"/>
    <n v="8.2899999999999991"/>
    <x v="1"/>
  </r>
  <r>
    <n v="687"/>
    <n v="8372.4646983311941"/>
    <n v="734.38382541720159"/>
    <n v="11.4"/>
    <x v="2"/>
  </r>
  <r>
    <n v="688"/>
    <n v="3615.8333333333335"/>
    <n v="364.14743589743591"/>
    <n v="9.93"/>
    <x v="1"/>
  </r>
  <r>
    <n v="689"/>
    <n v="7046.1126760563384"/>
    <n v="713.45198463508325"/>
    <n v="9.8800000000000008"/>
    <x v="2"/>
  </r>
  <r>
    <n v="690"/>
    <n v="5589.9871630295247"/>
    <n v="792.15147625160466"/>
    <n v="7.06"/>
    <x v="1"/>
  </r>
  <r>
    <n v="691"/>
    <n v="8371.0115532734271"/>
    <n v="621.31065468549423"/>
    <n v="13.47"/>
    <x v="2"/>
  </r>
  <r>
    <n v="692"/>
    <n v="6588.4172015404365"/>
    <n v="797.06546854942235"/>
    <n v="8.27"/>
    <x v="1"/>
  </r>
  <r>
    <n v="693"/>
    <n v="6607.9385403329061"/>
    <n v="494.53393085787451"/>
    <n v="13.36"/>
    <x v="2"/>
  </r>
  <r>
    <n v="694"/>
    <n v="8047.5225080385853"/>
    <n v="776.31832797427649"/>
    <n v="10.37"/>
    <x v="1"/>
  </r>
  <r>
    <n v="695"/>
    <n v="5393.1232349165593"/>
    <n v="513.87933247753529"/>
    <n v="10.49"/>
    <x v="1"/>
  </r>
  <r>
    <n v="696"/>
    <n v="7850.1390306122448"/>
    <n v="995.58928571428567"/>
    <n v="7.88"/>
    <x v="1"/>
  </r>
  <r>
    <n v="697"/>
    <n v="10656.173299101412"/>
    <n v="1004.6418485237484"/>
    <n v="10.61"/>
    <x v="2"/>
  </r>
  <r>
    <n v="698"/>
    <n v="15564.119897959185"/>
    <n v="1936.6122448979593"/>
    <n v="8.0399999999999991"/>
    <x v="1"/>
  </r>
  <r>
    <n v="699"/>
    <n v="8320.1292428198431"/>
    <n v="978.21409921671022"/>
    <n v="8.51"/>
    <x v="1"/>
  </r>
  <r>
    <n v="700"/>
    <n v="4356.4821664464989"/>
    <n v="527.13606340819024"/>
    <n v="8.26"/>
    <x v="1"/>
  </r>
  <r>
    <n v="701"/>
    <n v="5778.9742765273313"/>
    <n v="629.64790996784564"/>
    <n v="9.18"/>
    <x v="2"/>
  </r>
  <r>
    <n v="702"/>
    <n v="4373.971061093248"/>
    <n v="347.21864951768487"/>
    <n v="12.6"/>
    <x v="1"/>
  </r>
  <r>
    <n v="703"/>
    <n v="3290.5340179717587"/>
    <n v="352.55712451861359"/>
    <n v="9.33"/>
    <x v="1"/>
  </r>
  <r>
    <n v="704"/>
    <n v="10393.865900383142"/>
    <n v="1077.5478927203064"/>
    <n v="9.65"/>
    <x v="2"/>
  </r>
  <r>
    <n v="705"/>
    <n v="7967.2670089858793"/>
    <n v="959.33247753530168"/>
    <n v="8.31"/>
    <x v="1"/>
  </r>
  <r>
    <n v="706"/>
    <n v="5743.2652733118975"/>
    <n v="524.43247588424435"/>
    <n v="10.95"/>
    <x v="2"/>
  </r>
  <r>
    <n v="707"/>
    <n v="8319.7317073170725"/>
    <n v="913.95378690629013"/>
    <n v="9.1"/>
    <x v="1"/>
  </r>
  <r>
    <n v="708"/>
    <n v="4571.9898255813951"/>
    <n v="472.95348837209303"/>
    <n v="9.67"/>
    <x v="0"/>
  </r>
  <r>
    <n v="709"/>
    <n v="9886.9158163265311"/>
    <n v="1297.7372448979593"/>
    <n v="7.62"/>
    <x v="1"/>
  </r>
  <r>
    <n v="710"/>
    <n v="4546.6527331189709"/>
    <n v="373.18649517684889"/>
    <n v="12.18"/>
    <x v="2"/>
  </r>
  <r>
    <n v="711"/>
    <n v="6914.3916532905296"/>
    <n v="511.31942215088282"/>
    <n v="13.52"/>
    <x v="2"/>
  </r>
  <r>
    <n v="712"/>
    <n v="6421.442122186495"/>
    <n v="574.67684887459802"/>
    <n v="11.17"/>
    <x v="1"/>
  </r>
  <r>
    <n v="713"/>
    <n v="10718.055198973043"/>
    <n v="1313.7663671373555"/>
    <n v="8.16"/>
    <x v="1"/>
  </r>
  <r>
    <n v="714"/>
    <n v="4553.9472329472328"/>
    <n v="331.12226512226511"/>
    <n v="13.75"/>
    <x v="2"/>
  </r>
  <r>
    <n v="715"/>
    <n v="6491.0953608247419"/>
    <n v="675.4033505154639"/>
    <n v="9.61"/>
    <x v="1"/>
  </r>
  <r>
    <n v="716"/>
    <n v="5717.0819935691316"/>
    <n v="454.30868167202573"/>
    <n v="12.58"/>
    <x v="2"/>
  </r>
  <r>
    <n v="717"/>
    <n v="5552.894736842105"/>
    <n v="559.42105263157896"/>
    <n v="9.93"/>
    <x v="2"/>
  </r>
  <r>
    <n v="718"/>
    <n v="7911.313700384123"/>
    <n v="855.23943661971828"/>
    <n v="9.25"/>
    <x v="1"/>
  </r>
  <r>
    <n v="719"/>
    <n v="5383.6045016077169"/>
    <n v="456.75241157556269"/>
    <n v="11.79"/>
    <x v="0"/>
  </r>
  <r>
    <n v="720"/>
    <n v="7166.1288265306121"/>
    <n v="717.4795918367347"/>
    <n v="9.99"/>
    <x v="1"/>
  </r>
  <r>
    <n v="721"/>
    <n v="7673.4132653061224"/>
    <n v="756.20408163265301"/>
    <n v="10.15"/>
    <x v="1"/>
  </r>
  <r>
    <n v="722"/>
    <n v="9836.6466836734689"/>
    <n v="1583.0663265306123"/>
    <n v="6.21"/>
    <x v="1"/>
  </r>
  <r>
    <n v="723"/>
    <n v="7032.1037131882204"/>
    <n v="566.83866837387961"/>
    <n v="12.41"/>
    <x v="2"/>
  </r>
  <r>
    <n v="724"/>
    <n v="6812.9050064184848"/>
    <n v="699.10654685494228"/>
    <n v="9.75"/>
    <x v="2"/>
  </r>
  <r>
    <n v="725"/>
    <n v="5747.4247448979595"/>
    <n v="595.35714285714289"/>
    <n v="9.65"/>
    <x v="2"/>
  </r>
  <r>
    <n v="726"/>
    <n v="11048.673076923076"/>
    <n v="1064.5333333333333"/>
    <n v="10.38"/>
    <x v="1"/>
  </r>
  <r>
    <n v="727"/>
    <n v="4529.2906530089631"/>
    <n v="452.83354673495518"/>
    <n v="10"/>
    <x v="1"/>
  </r>
  <r>
    <n v="728"/>
    <n v="5245.7078507078504"/>
    <n v="458.06048906048903"/>
    <n v="11.45"/>
    <x v="2"/>
  </r>
  <r>
    <n v="729"/>
    <n v="10548.913992297817"/>
    <n v="1082.3350449293966"/>
    <n v="9.75"/>
    <x v="0"/>
  </r>
  <r>
    <n v="730"/>
    <n v="8055.3724489795923"/>
    <n v="984.27551020408168"/>
    <n v="8.18"/>
    <x v="0"/>
  </r>
  <r>
    <n v="731"/>
    <n v="9249.2293814432996"/>
    <n v="950.91752577319585"/>
    <n v="9.73"/>
    <x v="1"/>
  </r>
  <r>
    <n v="732"/>
    <n v="5816.4394110985277"/>
    <n v="661.45979614949033"/>
    <n v="8.7899999999999991"/>
    <x v="1"/>
  </r>
  <r>
    <n v="733"/>
    <n v="14933.288747346072"/>
    <n v="3403.4585987261148"/>
    <n v="4.3899999999999997"/>
    <x v="3"/>
  </r>
  <r>
    <n v="734"/>
    <n v="5980.5237483953788"/>
    <n v="566.05134788189991"/>
    <n v="10.57"/>
    <x v="1"/>
  </r>
  <r>
    <n v="735"/>
    <n v="5518.541025641026"/>
    <n v="544.33717948717947"/>
    <n v="10.14"/>
    <x v="2"/>
  </r>
  <r>
    <n v="736"/>
    <n v="5244.0755627009648"/>
    <n v="509.28295819935693"/>
    <n v="10.3"/>
    <x v="0"/>
  </r>
  <r>
    <n v="737"/>
    <n v="6117.9011553273431"/>
    <n v="898.41206675224646"/>
    <n v="6.81"/>
    <x v="1"/>
  </r>
  <r>
    <n v="738"/>
    <n v="8508.6007702182287"/>
    <n v="701.71501925545567"/>
    <n v="12.13"/>
    <x v="2"/>
  </r>
  <r>
    <n v="739"/>
    <n v="9557.6655948553052"/>
    <n v="765.30385852090035"/>
    <n v="12.49"/>
    <x v="2"/>
  </r>
  <r>
    <n v="740"/>
    <n v="6978.1766965428933"/>
    <n v="509.15108834827146"/>
    <n v="13.71"/>
    <x v="2"/>
  </r>
  <r>
    <n v="741"/>
    <n v="7619.4681122448983"/>
    <n v="920.23086734693879"/>
    <n v="8.2799999999999994"/>
    <x v="2"/>
  </r>
  <r>
    <n v="742"/>
    <n v="8025.8883183568678"/>
    <n v="872.77663671373557"/>
    <n v="9.1999999999999993"/>
    <x v="2"/>
  </r>
  <r>
    <n v="743"/>
    <n v="3816.5897435897436"/>
    <n v="418.32820512820513"/>
    <n v="9.1199999999999992"/>
    <x v="1"/>
  </r>
  <r>
    <n v="744"/>
    <n v="7457.0677685950413"/>
    <n v="834.8115702479339"/>
    <n v="8.93"/>
    <x v="1"/>
  </r>
  <r>
    <n v="745"/>
    <n v="7499.0782051282049"/>
    <n v="709.62948717948723"/>
    <n v="10.57"/>
    <x v="1"/>
  </r>
  <r>
    <n v="746"/>
    <n v="6039.5492957746483"/>
    <n v="509.04993597951346"/>
    <n v="11.86"/>
    <x v="2"/>
  </r>
  <r>
    <n v="747"/>
    <n v="8027.1461538461535"/>
    <n v="701.34743589743584"/>
    <n v="11.45"/>
    <x v="0"/>
  </r>
  <r>
    <n v="748"/>
    <n v="5737.6765083440305"/>
    <n v="487.65725288831834"/>
    <n v="11.77"/>
    <x v="2"/>
  </r>
  <r>
    <n v="749"/>
    <n v="5189.8600770218227"/>
    <n v="636.43132220795894"/>
    <n v="8.15"/>
    <x v="1"/>
  </r>
  <r>
    <n v="750"/>
    <n v="4997.3520900321546"/>
    <n v="402.8022508038585"/>
    <n v="12.41"/>
    <x v="2"/>
  </r>
  <r>
    <n v="751"/>
    <n v="4216.2156611039791"/>
    <n v="573.74326059050065"/>
    <n v="7.35"/>
    <x v="1"/>
  </r>
  <r>
    <n v="752"/>
    <n v="5251.6598202824134"/>
    <n v="459.39922978177151"/>
    <n v="11.43"/>
    <x v="1"/>
  </r>
  <r>
    <n v="753"/>
    <n v="8710.2798459563546"/>
    <n v="764.31578947368416"/>
    <n v="11.4"/>
    <x v="2"/>
  </r>
  <r>
    <n v="754"/>
    <n v="8086.957800511509"/>
    <n v="965.55882352941171"/>
    <n v="8.3800000000000008"/>
    <x v="0"/>
  </r>
  <r>
    <n v="755"/>
    <n v="10483.216389244559"/>
    <n v="895.41997439180534"/>
    <n v="11.71"/>
    <x v="2"/>
  </r>
  <r>
    <n v="756"/>
    <n v="16574.816431322208"/>
    <n v="2346.5725288831836"/>
    <n v="7.06"/>
    <x v="1"/>
  </r>
  <r>
    <n v="757"/>
    <n v="6219.7876447876451"/>
    <n v="535.85585585585591"/>
    <n v="11.61"/>
    <x v="1"/>
  </r>
  <r>
    <n v="758"/>
    <n v="4868.3669250645999"/>
    <n v="636.81524547803622"/>
    <n v="7.64"/>
    <x v="1"/>
  </r>
  <r>
    <n v="759"/>
    <n v="7010.1373555840819"/>
    <n v="774.44801026957634"/>
    <n v="9.0500000000000007"/>
    <x v="1"/>
  </r>
  <r>
    <n v="760"/>
    <n v="7638.3642213642215"/>
    <n v="1227.2458172458173"/>
    <n v="6.22"/>
    <x v="1"/>
  </r>
  <r>
    <n v="761"/>
    <n v="8729.4783163265311"/>
    <n v="994.94642857142856"/>
    <n v="8.77"/>
    <x v="1"/>
  </r>
  <r>
    <n v="762"/>
    <n v="3886.8899082568805"/>
    <n v="389.63564875491483"/>
    <n v="9.98"/>
    <x v="2"/>
  </r>
  <r>
    <n v="763"/>
    <n v="6125.2512755102043"/>
    <n v="586.27551020408168"/>
    <n v="10.45"/>
    <x v="2"/>
  </r>
  <r>
    <n v="764"/>
    <n v="3538.9882659713167"/>
    <n v="396.26857887874837"/>
    <n v="8.93"/>
    <x v="1"/>
  </r>
  <r>
    <n v="765"/>
    <n v="8506.867438867439"/>
    <n v="710.71428571428567"/>
    <n v="11.97"/>
    <x v="1"/>
  </r>
  <r>
    <n v="766"/>
    <n v="6123.9437299035371"/>
    <n v="529.70257234726694"/>
    <n v="11.56"/>
    <x v="2"/>
  </r>
  <r>
    <n v="767"/>
    <n v="6023.4030612244896"/>
    <n v="615.29719387755097"/>
    <n v="9.7899999999999991"/>
    <x v="1"/>
  </r>
  <r>
    <n v="768"/>
    <n v="12991.838010204081"/>
    <n v="1345.4426020408164"/>
    <n v="9.66"/>
    <x v="1"/>
  </r>
  <r>
    <n v="769"/>
    <n v="10825.902335456476"/>
    <n v="3081.0520169851379"/>
    <n v="3.51"/>
    <x v="3"/>
  </r>
  <r>
    <n v="770"/>
    <n v="6477.7881899871627"/>
    <n v="733.2605905006418"/>
    <n v="8.83"/>
    <x v="1"/>
  </r>
  <r>
    <n v="771"/>
    <n v="6722.0112540192922"/>
    <n v="689.02250803858522"/>
    <n v="9.76"/>
    <x v="1"/>
  </r>
  <r>
    <n v="772"/>
    <n v="3582.1992337164752"/>
    <n v="488.13537675606642"/>
    <n v="7.34"/>
    <x v="2"/>
  </r>
  <r>
    <n v="773"/>
    <n v="5716.1088348271451"/>
    <n v="791.85531370038416"/>
    <n v="7.22"/>
    <x v="1"/>
  </r>
  <r>
    <n v="774"/>
    <n v="5493.7436224489793"/>
    <n v="713.4158163265306"/>
    <n v="7.7"/>
    <x v="1"/>
  </r>
  <r>
    <n v="775"/>
    <n v="8690.8890675241164"/>
    <n v="621.09485530546624"/>
    <n v="13.99"/>
    <x v="2"/>
  </r>
  <r>
    <n v="776"/>
    <n v="4804.8067010309278"/>
    <n v="534.5682989690722"/>
    <n v="8.99"/>
    <x v="0"/>
  </r>
  <r>
    <n v="777"/>
    <n v="3991.3504492939664"/>
    <n v="350.51091142490372"/>
    <n v="11.39"/>
    <x v="2"/>
  </r>
  <r>
    <n v="778"/>
    <n v="5901.2572347266878"/>
    <n v="800.49196141479104"/>
    <n v="7.37"/>
    <x v="1"/>
  </r>
  <r>
    <n v="779"/>
    <n v="7128.5217948717946"/>
    <n v="700.08333333333337"/>
    <n v="10.18"/>
    <x v="1"/>
  </r>
  <r>
    <n v="780"/>
    <n v="6547.1884615384615"/>
    <n v="788.99487179487176"/>
    <n v="8.3000000000000007"/>
    <x v="1"/>
  </r>
  <r>
    <n v="781"/>
    <n v="4922.4423076923076"/>
    <n v="672.95897435897439"/>
    <n v="7.31"/>
    <x v="1"/>
  </r>
  <r>
    <n v="782"/>
    <n v="5488.7997432605907"/>
    <n v="513.21309370988445"/>
    <n v="10.69"/>
    <x v="0"/>
  </r>
  <r>
    <n v="783"/>
    <n v="6860.1854219948846"/>
    <n v="678.6675191815857"/>
    <n v="10.11"/>
    <x v="2"/>
  </r>
  <r>
    <n v="784"/>
    <n v="7751.309370988447"/>
    <n v="825.16688061617458"/>
    <n v="9.39"/>
    <x v="1"/>
  </r>
  <r>
    <n v="785"/>
    <n v="6511.5186136071889"/>
    <n v="561.39152759948649"/>
    <n v="11.6"/>
    <x v="2"/>
  </r>
  <r>
    <n v="786"/>
    <n v="3563.6743589743592"/>
    <n v="553.02051282051286"/>
    <n v="6.44"/>
    <x v="1"/>
  </r>
  <r>
    <n v="787"/>
    <n v="10227.147435897436"/>
    <n v="1141.9679487179487"/>
    <n v="8.9600000000000009"/>
    <x v="0"/>
  </r>
  <r>
    <n v="788"/>
    <n v="17961.914540816328"/>
    <n v="1717.9017857142858"/>
    <n v="10.46"/>
    <x v="1"/>
  </r>
  <r>
    <n v="789"/>
    <n v="3380.0115830115828"/>
    <n v="469.20978120978123"/>
    <n v="7.2"/>
    <x v="1"/>
  </r>
  <r>
    <n v="790"/>
    <n v="7453.0217669654294"/>
    <n v="682.35979513444306"/>
    <n v="10.92"/>
    <x v="2"/>
  </r>
  <r>
    <n v="791"/>
    <n v="7668.7766367137356"/>
    <n v="810.39922978177151"/>
    <n v="9.4600000000000009"/>
    <x v="1"/>
  </r>
  <r>
    <n v="792"/>
    <n v="7389.3735558408216"/>
    <n v="691.72657252888314"/>
    <n v="10.68"/>
    <x v="2"/>
  </r>
  <r>
    <n v="793"/>
    <n v="4832.1219512195121"/>
    <n v="457.85879332477538"/>
    <n v="10.55"/>
    <x v="2"/>
  </r>
  <r>
    <n v="794"/>
    <n v="3083.8128205128205"/>
    <n v="521.82948717948716"/>
    <n v="5.91"/>
    <x v="0"/>
  </r>
  <r>
    <n v="795"/>
    <n v="4553.673940949936"/>
    <n v="467.29910141206676"/>
    <n v="9.74"/>
    <x v="2"/>
  </r>
  <r>
    <n v="796"/>
    <n v="7244.7727856225929"/>
    <n v="667.79717586649554"/>
    <n v="10.85"/>
    <x v="1"/>
  </r>
  <r>
    <n v="797"/>
    <n v="4208.2315112540191"/>
    <n v="414.49517684887462"/>
    <n v="10.15"/>
    <x v="1"/>
  </r>
  <r>
    <n v="798"/>
    <n v="7468.2743589743586"/>
    <n v="900.59102564102568"/>
    <n v="8.2899999999999991"/>
    <x v="1"/>
  </r>
  <r>
    <n v="799"/>
    <n v="9894.9871630295256"/>
    <n v="898.63157894736844"/>
    <n v="11.01"/>
    <x v="1"/>
  </r>
  <r>
    <n v="800"/>
    <n v="5337.4326059050063"/>
    <n v="499.31450577663674"/>
    <n v="10.69"/>
    <x v="2"/>
  </r>
  <r>
    <n v="801"/>
    <n v="4845.2295918367345"/>
    <n v="474.38137755102042"/>
    <n v="10.210000000000001"/>
    <x v="2"/>
  </r>
  <r>
    <n v="802"/>
    <n v="6841.0752551020405"/>
    <n v="522.99107142857144"/>
    <n v="13.08"/>
    <x v="1"/>
  </r>
  <r>
    <n v="803"/>
    <n v="6047.6788036410926"/>
    <n v="492.09492847854358"/>
    <n v="12.29"/>
    <x v="2"/>
  </r>
  <r>
    <n v="804"/>
    <n v="4922.1864951768484"/>
    <n v="440.39871382636653"/>
    <n v="11.18"/>
    <x v="0"/>
  </r>
  <r>
    <n v="805"/>
    <n v="6084.2282958199357"/>
    <n v="572.42926045016077"/>
    <n v="10.63"/>
    <x v="2"/>
  </r>
  <r>
    <n v="806"/>
    <n v="6808.287781350482"/>
    <n v="525.32315112540198"/>
    <n v="12.96"/>
    <x v="2"/>
  </r>
  <r>
    <n v="807"/>
    <n v="9820.0422535211273"/>
    <n v="982.11523687580029"/>
    <n v="10"/>
    <x v="1"/>
  </r>
  <r>
    <n v="808"/>
    <n v="7291.1333333333332"/>
    <n v="601.39102564102564"/>
    <n v="12.12"/>
    <x v="1"/>
  </r>
  <r>
    <n v="809"/>
    <n v="9393.6148908857504"/>
    <n v="802.21309370988445"/>
    <n v="11.71"/>
    <x v="1"/>
  </r>
  <r>
    <n v="810"/>
    <n v="5930.4210526315792"/>
    <n v="488.84082156611038"/>
    <n v="12.13"/>
    <x v="2"/>
  </r>
  <r>
    <n v="811"/>
    <n v="4132.0382653061224"/>
    <n v="682.7704081632653"/>
    <n v="6.05"/>
    <x v="1"/>
  </r>
  <r>
    <n v="812"/>
    <n v="6366.7782051282047"/>
    <n v="776.4487179487179"/>
    <n v="8.1999999999999993"/>
    <x v="2"/>
  </r>
  <r>
    <n v="813"/>
    <n v="5810.7142857142853"/>
    <n v="650.24066924066926"/>
    <n v="8.94"/>
    <x v="1"/>
  </r>
  <r>
    <n v="814"/>
    <n v="8476.7634271099741"/>
    <n v="695.26598465473148"/>
    <n v="12.19"/>
    <x v="2"/>
  </r>
  <r>
    <n v="815"/>
    <n v="8395.837620578779"/>
    <n v="815.43729903536973"/>
    <n v="10.3"/>
    <x v="1"/>
  </r>
  <r>
    <n v="816"/>
    <n v="5133.0770218228499"/>
    <n v="742.62644415917839"/>
    <n v="6.91"/>
    <x v="0"/>
  </r>
  <r>
    <n v="817"/>
    <n v="21757.483418367348"/>
    <n v="3130.5739795918366"/>
    <n v="6.95"/>
    <x v="1"/>
  </r>
  <r>
    <n v="818"/>
    <n v="6110.5723431498081"/>
    <n v="635.26376440460945"/>
    <n v="9.6199999999999992"/>
    <x v="2"/>
  </r>
  <r>
    <n v="819"/>
    <n v="6091.1007653061224"/>
    <n v="539.95408163265301"/>
    <n v="11.28"/>
    <x v="1"/>
  </r>
  <r>
    <n v="820"/>
    <n v="12085.850482315112"/>
    <n v="1089.5916398713825"/>
    <n v="11.09"/>
    <x v="1"/>
  </r>
  <r>
    <n v="821"/>
    <n v="6937.4910714285716"/>
    <n v="851.14285714285711"/>
    <n v="8.15"/>
    <x v="1"/>
  </r>
  <r>
    <n v="822"/>
    <n v="7737.6645408163267"/>
    <n v="636.68494897959181"/>
    <n v="12.15"/>
    <x v="1"/>
  </r>
  <r>
    <n v="823"/>
    <n v="5802.3839285714284"/>
    <n v="570.0012755102041"/>
    <n v="10.18"/>
    <x v="1"/>
  </r>
  <r>
    <n v="824"/>
    <n v="6834.3125"/>
    <n v="862.82397959183675"/>
    <n v="7.92"/>
    <x v="1"/>
  </r>
  <r>
    <n v="825"/>
    <n v="4562.9212218649518"/>
    <n v="537.05466237942119"/>
    <n v="8.5"/>
    <x v="1"/>
  </r>
  <r>
    <n v="826"/>
    <n v="8839.1868556701029"/>
    <n v="771.08634020618558"/>
    <n v="11.46"/>
    <x v="1"/>
  </r>
  <r>
    <n v="827"/>
    <n v="12771.665389527458"/>
    <n v="1663.4418901660281"/>
    <n v="7.68"/>
    <x v="1"/>
  </r>
  <r>
    <n v="828"/>
    <n v="5199.9461538461537"/>
    <n v="587.06538461538457"/>
    <n v="8.86"/>
    <x v="2"/>
  </r>
  <r>
    <n v="829"/>
    <n v="5920.6696542893724"/>
    <n v="790.92061459667093"/>
    <n v="7.49"/>
    <x v="0"/>
  </r>
  <r>
    <n v="830"/>
    <n v="6174.8794871794871"/>
    <n v="526.45897435897439"/>
    <n v="11.73"/>
    <x v="1"/>
  </r>
  <r>
    <n v="831"/>
    <n v="12689.002567394095"/>
    <n v="1576.961489088575"/>
    <n v="8.0500000000000007"/>
    <x v="1"/>
  </r>
  <r>
    <n v="832"/>
    <n v="6550.293213828425"/>
    <n v="554.44174135723426"/>
    <n v="11.81"/>
    <x v="2"/>
  </r>
  <r>
    <n v="833"/>
    <n v="5511.3504492939664"/>
    <n v="506.18228498074456"/>
    <n v="10.89"/>
    <x v="2"/>
  </r>
  <r>
    <n v="834"/>
    <n v="5868.5420918367345"/>
    <n v="639.4362244897959"/>
    <n v="9.18"/>
    <x v="1"/>
  </r>
  <r>
    <n v="835"/>
    <n v="5174.6332899869958"/>
    <n v="657.55396618985696"/>
    <n v="7.87"/>
    <x v="1"/>
  </r>
  <r>
    <n v="836"/>
    <n v="5906.0025641025641"/>
    <n v="711.46153846153845"/>
    <n v="8.3000000000000007"/>
    <x v="1"/>
  </r>
  <r>
    <n v="837"/>
    <n v="3473.7217043941409"/>
    <n v="460.1531291611185"/>
    <n v="7.55"/>
    <x v="1"/>
  </r>
  <r>
    <n v="838"/>
    <n v="7987.2723785166245"/>
    <n v="817.73145780051152"/>
    <n v="9.77"/>
    <x v="2"/>
  </r>
  <r>
    <n v="839"/>
    <n v="5127.158163265306"/>
    <n v="647.0625"/>
    <n v="7.92"/>
    <x v="0"/>
  </r>
  <r>
    <n v="840"/>
    <n v="7319.0204081632655"/>
    <n v="1055.8354591836735"/>
    <n v="6.93"/>
    <x v="1"/>
  </r>
  <r>
    <n v="841"/>
    <n v="2972.6089743589741"/>
    <n v="412.17307692307691"/>
    <n v="7.21"/>
    <x v="1"/>
  </r>
  <r>
    <n v="842"/>
    <n v="18574.795819935691"/>
    <n v="1149.242765273312"/>
    <n v="16.16"/>
    <x v="2"/>
  </r>
  <r>
    <n v="843"/>
    <n v="9468.7066326530621"/>
    <n v="1116.2448979591836"/>
    <n v="8.48"/>
    <x v="0"/>
  </r>
  <r>
    <n v="844"/>
    <n v="4178.7124518613609"/>
    <n v="454.22849807445442"/>
    <n v="9.1999999999999993"/>
    <x v="1"/>
  </r>
  <r>
    <n v="845"/>
    <n v="4828.5618556701029"/>
    <n v="357.90721649484539"/>
    <n v="13.49"/>
    <x v="2"/>
  </r>
  <r>
    <n v="846"/>
    <n v="9224.6379974326064"/>
    <n v="864.62002567394097"/>
    <n v="10.67"/>
    <x v="1"/>
  </r>
  <r>
    <n v="847"/>
    <n v="7111.7615979381444"/>
    <n v="1010.7538659793814"/>
    <n v="7.04"/>
    <x v="0"/>
  </r>
  <r>
    <n v="848"/>
    <n v="6630.6028833551773"/>
    <n v="753.17431192660547"/>
    <n v="8.8000000000000007"/>
    <x v="1"/>
  </r>
  <r>
    <n v="849"/>
    <n v="8155.2181122448983"/>
    <n v="889.13903061224494"/>
    <n v="9.17"/>
    <x v="0"/>
  </r>
  <r>
    <n v="850"/>
    <n v="6193.7658473479951"/>
    <n v="652.21086675291076"/>
    <n v="9.5"/>
    <x v="2"/>
  </r>
  <r>
    <n v="851"/>
    <n v="5453.4630225080382"/>
    <n v="469.69614147909965"/>
    <n v="11.61"/>
    <x v="2"/>
  </r>
  <r>
    <n v="852"/>
    <n v="4606.513444302177"/>
    <n v="583.9308578745198"/>
    <n v="7.89"/>
    <x v="0"/>
  </r>
  <r>
    <n v="853"/>
    <n v="9243.1042471042474"/>
    <n v="1020.2509652509652"/>
    <n v="9.06"/>
    <x v="1"/>
  </r>
  <r>
    <n v="854"/>
    <n v="6577.1435897435895"/>
    <n v="680.73461538461538"/>
    <n v="9.66"/>
    <x v="0"/>
  </r>
  <r>
    <n v="855"/>
    <n v="5762.6718146718149"/>
    <n v="614.36036036036035"/>
    <n v="9.3800000000000008"/>
    <x v="1"/>
  </r>
  <r>
    <n v="856"/>
    <n v="7142.3801020408164"/>
    <n v="957.88647959183675"/>
    <n v="7.46"/>
    <x v="1"/>
  </r>
  <r>
    <n v="857"/>
    <n v="7446.322663252241"/>
    <n v="922.98335467349557"/>
    <n v="8.07"/>
    <x v="0"/>
  </r>
  <r>
    <n v="858"/>
    <n v="4755.6045016077169"/>
    <n v="418.09967845659162"/>
    <n v="11.37"/>
    <x v="1"/>
  </r>
  <r>
    <n v="859"/>
    <n v="7503.7491961414789"/>
    <n v="726.25241157556275"/>
    <n v="10.33"/>
    <x v="0"/>
  </r>
  <r>
    <n v="860"/>
    <n v="5781.3337595907924"/>
    <n v="732.04859335038361"/>
    <n v="7.9"/>
    <x v="0"/>
  </r>
  <r>
    <n v="861"/>
    <n v="3500.3494764397906"/>
    <n v="509.5523560209424"/>
    <n v="6.87"/>
    <x v="0"/>
  </r>
  <r>
    <n v="862"/>
    <n v="8565.1339285714294"/>
    <n v="1118.1454081632653"/>
    <n v="7.66"/>
    <x v="1"/>
  </r>
  <r>
    <n v="863"/>
    <n v="7707.8478015783539"/>
    <n v="918.70236753100335"/>
    <n v="8.39"/>
    <x v="1"/>
  </r>
  <r>
    <n v="864"/>
    <n v="4268.4362934362935"/>
    <n v="587.96782496782498"/>
    <n v="7.26"/>
    <x v="1"/>
  </r>
  <r>
    <n v="865"/>
    <n v="7566.5840821566107"/>
    <n v="637.16046213093705"/>
    <n v="11.88"/>
    <x v="2"/>
  </r>
  <r>
    <n v="866"/>
    <n v="6873.3918053777206"/>
    <n v="486.00384122919337"/>
    <n v="14.14"/>
    <x v="2"/>
  </r>
  <r>
    <n v="867"/>
    <n v="4329.221590909091"/>
    <n v="410.0977272727273"/>
    <n v="10.56"/>
    <x v="2"/>
  </r>
  <r>
    <n v="868"/>
    <n v="9578.2996158770802"/>
    <n v="652.10755441741355"/>
    <n v="14.69"/>
    <x v="2"/>
  </r>
  <r>
    <n v="869"/>
    <n v="5973.3076923076924"/>
    <n v="870.0846153846154"/>
    <n v="6.87"/>
    <x v="0"/>
  </r>
  <r>
    <n v="870"/>
    <n v="6929.2046632124357"/>
    <n v="868.56088082901556"/>
    <n v="7.98"/>
    <x v="1"/>
  </r>
  <r>
    <n v="871"/>
    <n v="6260.4980793854029"/>
    <n v="479.62996158770807"/>
    <n v="13.05"/>
    <x v="2"/>
  </r>
  <r>
    <n v="872"/>
    <n v="8536.4069319640566"/>
    <n v="821.72528883183566"/>
    <n v="10.39"/>
    <x v="1"/>
  </r>
  <r>
    <n v="873"/>
    <n v="3833.3448717948718"/>
    <n v="456.25641025641028"/>
    <n v="8.4"/>
    <x v="1"/>
  </r>
  <r>
    <n v="874"/>
    <n v="4583.6926020408164"/>
    <n v="509.76785714285717"/>
    <n v="8.99"/>
    <x v="1"/>
  </r>
  <r>
    <n v="875"/>
    <n v="5061.6623876765079"/>
    <n v="470.23106546854945"/>
    <n v="10.76"/>
    <x v="2"/>
  </r>
  <r>
    <n v="876"/>
    <n v="9228.9099216710183"/>
    <n v="1016.9791122715404"/>
    <n v="9.07"/>
    <x v="1"/>
  </r>
  <r>
    <n v="877"/>
    <n v="6331.502481389578"/>
    <n v="873.49379652605455"/>
    <n v="7.25"/>
    <x v="1"/>
  </r>
  <r>
    <n v="878"/>
    <n v="8720.084615384616"/>
    <n v="795.72948717948714"/>
    <n v="10.96"/>
    <x v="2"/>
  </r>
  <r>
    <n v="879"/>
    <n v="3762.9839228295818"/>
    <n v="347.32636655948551"/>
    <n v="10.83"/>
    <x v="2"/>
  </r>
  <r>
    <n v="880"/>
    <n v="7507.0592020592021"/>
    <n v="790.2548262548263"/>
    <n v="9.5"/>
    <x v="1"/>
  </r>
  <r>
    <n v="881"/>
    <n v="4203.0166880616171"/>
    <n v="620.40564826700904"/>
    <n v="6.77"/>
    <x v="1"/>
  </r>
  <r>
    <n v="882"/>
    <n v="6607.3524057217164"/>
    <n v="842.34200260078023"/>
    <n v="7.84"/>
    <x v="1"/>
  </r>
  <r>
    <n v="883"/>
    <n v="4768.6508344030808"/>
    <n v="502.61745827984595"/>
    <n v="9.49"/>
    <x v="1"/>
  </r>
  <r>
    <n v="884"/>
    <n v="5536.9099678456596"/>
    <n v="530.06913183279744"/>
    <n v="10.45"/>
    <x v="2"/>
  </r>
  <r>
    <n v="885"/>
    <n v="5458.6752577319585"/>
    <n v="729.2448453608248"/>
    <n v="7.49"/>
    <x v="1"/>
  </r>
  <r>
    <n v="886"/>
    <n v="6442.7240051347881"/>
    <n v="609.00128369704748"/>
    <n v="10.58"/>
    <x v="1"/>
  </r>
  <r>
    <n v="887"/>
    <n v="6887.3704663212438"/>
    <n v="577.12823834196888"/>
    <n v="11.93"/>
    <x v="2"/>
  </r>
  <r>
    <n v="888"/>
    <n v="7998.7410714285716"/>
    <n v="743.40943877551024"/>
    <n v="10.76"/>
    <x v="2"/>
  </r>
  <r>
    <n v="889"/>
    <n v="4144.4371794871795"/>
    <n v="452.95384615384614"/>
    <n v="9.15"/>
    <x v="2"/>
  </r>
  <r>
    <n v="890"/>
    <n v="5729.5836012861737"/>
    <n v="444.67684887459808"/>
    <n v="12.88"/>
    <x v="1"/>
  </r>
  <r>
    <n v="891"/>
    <n v="7976.4072164948457"/>
    <n v="1097.4600515463917"/>
    <n v="7.27"/>
    <x v="1"/>
  </r>
  <r>
    <n v="892"/>
    <n v="7599.1628205128209"/>
    <n v="780.04743589743589"/>
    <n v="9.74"/>
    <x v="1"/>
  </r>
  <r>
    <n v="893"/>
    <n v="6396.5900321543404"/>
    <n v="827.85369774919616"/>
    <n v="7.73"/>
    <x v="1"/>
  </r>
  <r>
    <n v="894"/>
    <n v="8468.4798962386503"/>
    <n v="1034.7120622568093"/>
    <n v="8.18"/>
    <x v="1"/>
  </r>
  <r>
    <n v="895"/>
    <n v="9329.3590733590736"/>
    <n v="881.72072072072069"/>
    <n v="10.58"/>
    <x v="1"/>
  </r>
  <r>
    <n v="896"/>
    <n v="6937.6658163265311"/>
    <n v="1087.7448979591836"/>
    <n v="6.38"/>
    <x v="1"/>
  </r>
  <r>
    <n v="897"/>
    <n v="3492.9447300771208"/>
    <n v="345.61053984575835"/>
    <n v="10.11"/>
    <x v="0"/>
  </r>
  <r>
    <n v="898"/>
    <n v="6615.434782608696"/>
    <n v="710.91943734015342"/>
    <n v="9.31"/>
    <x v="1"/>
  </r>
  <r>
    <n v="899"/>
    <n v="5268.3153846153846"/>
    <n v="562.51153846153841"/>
    <n v="9.3699999999999992"/>
    <x v="2"/>
  </r>
  <r>
    <n v="900"/>
    <n v="5844.5128617363343"/>
    <n v="549.0257234726688"/>
    <n v="10.65"/>
    <x v="1"/>
  </r>
  <r>
    <n v="901"/>
    <n v="7231.0420918367345"/>
    <n v="638.70663265306121"/>
    <n v="11.32"/>
    <x v="1"/>
  </r>
  <r>
    <n v="902"/>
    <n v="4886.471061093248"/>
    <n v="628.94051446945343"/>
    <n v="7.77"/>
    <x v="1"/>
  </r>
  <r>
    <n v="903"/>
    <n v="11737.745980707396"/>
    <n v="817.77652733118975"/>
    <n v="14.35"/>
    <x v="2"/>
  </r>
  <r>
    <n v="904"/>
    <n v="6016.7572347266878"/>
    <n v="513.98874598070745"/>
    <n v="11.71"/>
    <x v="2"/>
  </r>
  <r>
    <n v="905"/>
    <n v="8530.2516046213095"/>
    <n v="1267.4505776636713"/>
    <n v="6.73"/>
    <x v="1"/>
  </r>
  <r>
    <n v="906"/>
    <n v="10929.289372599233"/>
    <n v="1270.8450704225352"/>
    <n v="8.6"/>
    <x v="1"/>
  </r>
  <r>
    <n v="907"/>
    <n v="6270.7496790757377"/>
    <n v="829.32862644415923"/>
    <n v="7.56"/>
    <x v="1"/>
  </r>
  <r>
    <n v="908"/>
    <n v="4234.8271446863"/>
    <n v="363.07426376440463"/>
    <n v="11.66"/>
    <x v="1"/>
  </r>
  <r>
    <n v="909"/>
    <n v="10728.983525535421"/>
    <n v="1020.0939044481055"/>
    <n v="10.52"/>
    <x v="1"/>
  </r>
  <r>
    <n v="910"/>
    <n v="5708.8064102564103"/>
    <n v="573.57051282051282"/>
    <n v="9.9499999999999993"/>
    <x v="2"/>
  </r>
  <r>
    <n v="911"/>
    <n v="9884.9081632653069"/>
    <n v="909.42091836734699"/>
    <n v="10.87"/>
    <x v="1"/>
  </r>
  <r>
    <n v="912"/>
    <n v="5765.9795918367345"/>
    <n v="758.6454081632653"/>
    <n v="7.6"/>
    <x v="0"/>
  </r>
  <r>
    <n v="913"/>
    <n v="8892.1610824742274"/>
    <n v="1162.4587628865979"/>
    <n v="7.65"/>
    <x v="1"/>
  </r>
  <r>
    <n v="914"/>
    <n v="9506.7079081632655"/>
    <n v="1133.4285714285713"/>
    <n v="8.39"/>
    <x v="0"/>
  </r>
  <r>
    <n v="915"/>
    <n v="6338.1077170418002"/>
    <n v="513.68167202572351"/>
    <n v="12.34"/>
    <x v="2"/>
  </r>
  <r>
    <n v="916"/>
    <n v="5382.2268041237112"/>
    <n v="704.5567010309278"/>
    <n v="7.64"/>
    <x v="1"/>
  </r>
  <r>
    <n v="917"/>
    <n v="6702.944801026958"/>
    <n v="741.28626444159181"/>
    <n v="9.0399999999999991"/>
    <x v="1"/>
  </r>
  <r>
    <n v="918"/>
    <n v="5187.2717948717946"/>
    <n v="552.94358974358977"/>
    <n v="9.3800000000000008"/>
    <x v="1"/>
  </r>
  <r>
    <n v="919"/>
    <n v="5536.3816425120776"/>
    <n v="676.64895330112722"/>
    <n v="8.18"/>
    <x v="1"/>
  </r>
  <r>
    <n v="920"/>
    <n v="5764.1961414790994"/>
    <n v="581.6848874598071"/>
    <n v="9.91"/>
    <x v="1"/>
  </r>
  <r>
    <n v="921"/>
    <n v="9473.8948717948715"/>
    <n v="1094.5935897435897"/>
    <n v="8.66"/>
    <x v="1"/>
  </r>
  <r>
    <n v="922"/>
    <n v="7405.8464516129034"/>
    <n v="713.42451612903221"/>
    <n v="10.38"/>
    <x v="2"/>
  </r>
  <r>
    <n v="923"/>
    <n v="5315.3443877551017"/>
    <n v="640.09566326530614"/>
    <n v="8.3000000000000007"/>
    <x v="1"/>
  </r>
  <r>
    <n v="924"/>
    <n v="4752.8831835686779"/>
    <n v="450.14505776636713"/>
    <n v="10.56"/>
    <x v="1"/>
  </r>
  <r>
    <n v="925"/>
    <n v="6693.7113133940184"/>
    <n v="1198.8751625487646"/>
    <n v="5.58"/>
    <x v="0"/>
  </r>
  <r>
    <n v="926"/>
    <n v="7260.5879332477534"/>
    <n v="542.63029525032096"/>
    <n v="13.38"/>
    <x v="2"/>
  </r>
  <r>
    <n v="927"/>
    <n v="6553.6113989637306"/>
    <n v="871.40673575129529"/>
    <n v="7.52"/>
    <x v="1"/>
  </r>
  <r>
    <n v="928"/>
    <n v="8014.6829268292686"/>
    <n v="692.61232349165596"/>
    <n v="11.57"/>
    <x v="2"/>
  </r>
  <r>
    <n v="929"/>
    <n v="5815.345663265306"/>
    <n v="711.15816326530614"/>
    <n v="8.18"/>
    <x v="1"/>
  </r>
  <r>
    <n v="930"/>
    <n v="7150.1578947368425"/>
    <n v="1170.7008985879334"/>
    <n v="6.11"/>
    <x v="1"/>
  </r>
  <r>
    <n v="931"/>
    <n v="3588.8388571428573"/>
    <n v="441.70171428571427"/>
    <n v="8.1300000000000008"/>
    <x v="1"/>
  </r>
  <r>
    <n v="932"/>
    <n v="7395.2086677367579"/>
    <n v="731.06741573033707"/>
    <n v="10.119999999999999"/>
    <x v="1"/>
  </r>
  <r>
    <n v="933"/>
    <n v="7331.4794871794875"/>
    <n v="905.29230769230765"/>
    <n v="8.1"/>
    <x v="1"/>
  </r>
  <r>
    <n v="934"/>
    <n v="6763.6200256739412"/>
    <n v="679.61103979460847"/>
    <n v="9.9499999999999993"/>
    <x v="1"/>
  </r>
  <r>
    <n v="935"/>
    <n v="5650.7053571428569"/>
    <n v="600.42602040816325"/>
    <n v="9.41"/>
    <x v="1"/>
  </r>
  <r>
    <n v="936"/>
    <n v="7056.2849807445446"/>
    <n v="891.38639281129656"/>
    <n v="7.92"/>
    <x v="1"/>
  </r>
  <r>
    <n v="937"/>
    <n v="7232.900128040973"/>
    <n v="585.48655569782329"/>
    <n v="12.35"/>
    <x v="2"/>
  </r>
  <r>
    <n v="938"/>
    <n v="9408.1147959183672"/>
    <n v="963.7079081632653"/>
    <n v="9.76"/>
    <x v="1"/>
  </r>
  <r>
    <n v="939"/>
    <n v="5977.8498074454428"/>
    <n v="576.50962772785624"/>
    <n v="10.37"/>
    <x v="2"/>
  </r>
  <r>
    <n v="940"/>
    <n v="7252.5923076923073"/>
    <n v="743.01794871794868"/>
    <n v="9.76"/>
    <x v="2"/>
  </r>
  <r>
    <n v="941"/>
    <n v="5030.6382636655944"/>
    <n v="554.09485530546624"/>
    <n v="9.08"/>
    <x v="1"/>
  </r>
  <r>
    <n v="942"/>
    <n v="6058.3649167733674"/>
    <n v="470.41741357234315"/>
    <n v="12.88"/>
    <x v="2"/>
  </r>
  <r>
    <n v="943"/>
    <n v="6969.1835686777922"/>
    <n v="605.82413350449292"/>
    <n v="11.5"/>
    <x v="2"/>
  </r>
  <r>
    <n v="944"/>
    <n v="7930.5076530612241"/>
    <n v="1229.5242346938776"/>
    <n v="6.45"/>
    <x v="0"/>
  </r>
  <r>
    <n v="945"/>
    <n v="4374.9553571428569"/>
    <n v="530.88647959183675"/>
    <n v="8.24"/>
    <x v="1"/>
  </r>
  <r>
    <n v="946"/>
    <n v="4203.4274711168164"/>
    <n v="532.63671373555837"/>
    <n v="7.89"/>
    <x v="1"/>
  </r>
  <r>
    <n v="947"/>
    <n v="8392.3981841763944"/>
    <n v="1140.2970168612192"/>
    <n v="7.36"/>
    <x v="1"/>
  </r>
  <r>
    <n v="948"/>
    <n v="6936.7607758620688"/>
    <n v="1712.4278017241379"/>
    <n v="4.05"/>
    <x v="3"/>
  </r>
  <r>
    <n v="949"/>
    <n v="5350.0063775510207"/>
    <n v="496.91198979591837"/>
    <n v="10.77"/>
    <x v="1"/>
  </r>
  <r>
    <n v="950"/>
    <n v="5742.3174193548384"/>
    <n v="562.31354838709683"/>
    <n v="10.210000000000001"/>
    <x v="1"/>
  </r>
  <r>
    <n v="951"/>
    <n v="7776.9794608472403"/>
    <n v="718.83311938382542"/>
    <n v="10.82"/>
    <x v="2"/>
  </r>
  <r>
    <n v="952"/>
    <n v="6568.048231511254"/>
    <n v="530.22025723472666"/>
    <n v="12.39"/>
    <x v="2"/>
  </r>
  <r>
    <n v="953"/>
    <n v="5323.4552429667519"/>
    <n v="542.59462915601023"/>
    <n v="9.81"/>
    <x v="1"/>
  </r>
  <r>
    <n v="954"/>
    <n v="6966.0487804878048"/>
    <n v="905.39794608472403"/>
    <n v="7.69"/>
    <x v="1"/>
  </r>
  <r>
    <n v="955"/>
    <n v="4719.5494223363285"/>
    <n v="456.70218228498072"/>
    <n v="10.33"/>
    <x v="2"/>
  </r>
  <r>
    <n v="956"/>
    <n v="3855.9123711340208"/>
    <n v="496.28608247422682"/>
    <n v="7.77"/>
    <x v="1"/>
  </r>
  <r>
    <n v="957"/>
    <n v="7898.8852040816328"/>
    <n v="850.66836734693879"/>
    <n v="9.2899999999999991"/>
    <x v="2"/>
  </r>
  <r>
    <n v="958"/>
    <n v="4244.4323979591836"/>
    <n v="562.73214285714289"/>
    <n v="7.54"/>
    <x v="1"/>
  </r>
  <r>
    <n v="959"/>
    <n v="7051.4349489795923"/>
    <n v="744.59566326530614"/>
    <n v="9.4700000000000006"/>
    <x v="1"/>
  </r>
  <r>
    <n v="960"/>
    <n v="6723.6005121638927"/>
    <n v="553.06145966709346"/>
    <n v="12.16"/>
    <x v="2"/>
  </r>
  <r>
    <n v="961"/>
    <n v="6521.9358151476254"/>
    <n v="688.83568677792039"/>
    <n v="9.4700000000000006"/>
    <x v="2"/>
  </r>
  <r>
    <n v="962"/>
    <n v="6690.6148825065275"/>
    <n v="908.74804177545695"/>
    <n v="7.36"/>
    <x v="0"/>
  </r>
  <r>
    <n v="963"/>
    <n v="10764.320924261874"/>
    <n v="1016.2130937098844"/>
    <n v="10.59"/>
    <x v="1"/>
  </r>
  <r>
    <n v="964"/>
    <n v="9759.9727979274612"/>
    <n v="1395.3031088082901"/>
    <n v="6.99"/>
    <x v="1"/>
  </r>
  <r>
    <n v="965"/>
    <n v="8484.7631241997442"/>
    <n v="905.48527528809223"/>
    <n v="9.3699999999999992"/>
    <x v="1"/>
  </r>
  <r>
    <n v="966"/>
    <n v="4818.0783055198972"/>
    <n v="610.25673940949935"/>
    <n v="7.9"/>
    <x v="1"/>
  </r>
  <r>
    <n v="967"/>
    <n v="8641.1720154043651"/>
    <n v="923.32477535301666"/>
    <n v="9.36"/>
    <x v="1"/>
  </r>
  <r>
    <n v="968"/>
    <n v="7191.9769230769234"/>
    <n v="875.9666666666667"/>
    <n v="8.2100000000000009"/>
    <x v="0"/>
  </r>
  <r>
    <n v="969"/>
    <n v="3503.4662251655627"/>
    <n v="599.13377483443708"/>
    <n v="5.85"/>
    <x v="1"/>
  </r>
  <r>
    <n v="970"/>
    <n v="3295.7426376440462"/>
    <n v="400.16901408450707"/>
    <n v="8.24"/>
    <x v="1"/>
  </r>
  <r>
    <n v="971"/>
    <n v="8270.106080206986"/>
    <n v="985.32858990944374"/>
    <n v="8.39"/>
    <x v="0"/>
  </r>
  <r>
    <n v="972"/>
    <n v="3422.5455840455838"/>
    <n v="387.80341880341882"/>
    <n v="8.83"/>
    <x v="1"/>
  </r>
  <r>
    <n v="973"/>
    <n v="6440.9858793324775"/>
    <n v="789.87291399229787"/>
    <n v="8.15"/>
    <x v="2"/>
  </r>
  <r>
    <n v="974"/>
    <n v="11540.954983922829"/>
    <n v="1561.4212218649518"/>
    <n v="7.39"/>
    <x v="1"/>
  </r>
  <r>
    <n v="975"/>
    <n v="7715.7368421052633"/>
    <n v="743.83311938382542"/>
    <n v="10.37"/>
    <x v="1"/>
  </r>
  <r>
    <n v="976"/>
    <n v="6974.9653401797177"/>
    <n v="717.7394094993582"/>
    <n v="9.7200000000000006"/>
    <x v="1"/>
  </r>
  <r>
    <n v="977"/>
    <n v="4774.1428571428569"/>
    <n v="510.58105939004815"/>
    <n v="9.35"/>
    <x v="1"/>
  </r>
  <r>
    <n v="978"/>
    <n v="7213.5743589743588"/>
    <n v="971.57692307692309"/>
    <n v="7.42"/>
    <x v="0"/>
  </r>
  <r>
    <n v="979"/>
    <n v="6264.4603580562662"/>
    <n v="636.38235294117646"/>
    <n v="9.84"/>
    <x v="1"/>
  </r>
  <r>
    <n v="980"/>
    <n v="7019.6161745827985"/>
    <n v="554.76765083440307"/>
    <n v="12.65"/>
    <x v="1"/>
  </r>
  <r>
    <n v="981"/>
    <n v="7308.9128205128209"/>
    <n v="754.22564102564104"/>
    <n v="9.69"/>
    <x v="2"/>
  </r>
  <r>
    <n v="982"/>
    <n v="8058.2794871794868"/>
    <n v="691.66282051282053"/>
    <n v="11.65"/>
    <x v="2"/>
  </r>
  <r>
    <n v="983"/>
    <n v="10259.789405684754"/>
    <n v="1379.9302325581396"/>
    <n v="7.44"/>
    <x v="1"/>
  </r>
  <r>
    <n v="984"/>
    <n v="6067.2190721649486"/>
    <n v="740.34922680412376"/>
    <n v="8.1999999999999993"/>
    <x v="0"/>
  </r>
  <r>
    <n v="985"/>
    <n v="8387.2586872586871"/>
    <n v="774.75418275418281"/>
    <n v="10.83"/>
    <x v="0"/>
  </r>
  <r>
    <n v="986"/>
    <n v="6220.2525906735755"/>
    <n v="828.08678756476684"/>
    <n v="7.51"/>
    <x v="1"/>
  </r>
  <r>
    <n v="987"/>
    <n v="6847.3558673469388"/>
    <n v="867.46556122448976"/>
    <n v="7.89"/>
    <x v="0"/>
  </r>
  <r>
    <n v="988"/>
    <n v="4698.0714285714284"/>
    <n v="722.50765306122446"/>
    <n v="6.5"/>
    <x v="1"/>
  </r>
  <r>
    <n v="989"/>
    <n v="5242.4630225080382"/>
    <n v="573.54501607717043"/>
    <n v="9.14"/>
    <x v="1"/>
  </r>
  <r>
    <n v="990"/>
    <n v="6409.1346153846152"/>
    <n v="573.48076923076928"/>
    <n v="11.18"/>
    <x v="2"/>
  </r>
  <r>
    <n v="991"/>
    <n v="5756.7650834403084"/>
    <n v="536.75096277278567"/>
    <n v="10.73"/>
    <x v="1"/>
  </r>
  <r>
    <n v="992"/>
    <n v="5715.9910141206674"/>
    <n v="701.14249037227216"/>
    <n v="8.15"/>
    <x v="1"/>
  </r>
  <r>
    <n v="993"/>
    <n v="7618.0294871794868"/>
    <n v="752.82948717948716"/>
    <n v="10.119999999999999"/>
    <x v="2"/>
  </r>
  <r>
    <n v="994"/>
    <n v="4539.5160462130934"/>
    <n v="442.01155327342747"/>
    <n v="10.27"/>
    <x v="1"/>
  </r>
  <r>
    <n v="995"/>
    <n v="9264.3461538461543"/>
    <n v="788.12051282051277"/>
    <n v="11.75"/>
    <x v="2"/>
  </r>
  <r>
    <n v="996"/>
    <n v="6510.0469361147325"/>
    <n v="696.71447196870929"/>
    <n v="9.34"/>
    <x v="0"/>
  </r>
  <r>
    <n v="997"/>
    <n v="5157.918053777209"/>
    <n v="412.32266325224072"/>
    <n v="12.51"/>
    <x v="2"/>
  </r>
  <r>
    <n v="998"/>
    <n v="4316.9407979407979"/>
    <n v="534.27670527670523"/>
    <n v="8.08"/>
    <x v="1"/>
  </r>
  <r>
    <n v="999"/>
    <n v="9183.7448717948719"/>
    <n v="660.40128205128201"/>
    <n v="13.91"/>
    <x v="2"/>
  </r>
  <r>
    <n v="1000"/>
    <n v="7452.6125401929257"/>
    <n v="681.14951768488743"/>
    <n v="10.94"/>
    <x v="1"/>
  </r>
  <r>
    <n v="1001"/>
    <n v="5420.7212276214832"/>
    <n v="621.002557544757"/>
    <n v="8.73"/>
    <x v="0"/>
  </r>
  <r>
    <n v="1002"/>
    <n v="6063.5076530612241"/>
    <n v="717.36862244897964"/>
    <n v="8.4499999999999993"/>
    <x v="2"/>
  </r>
  <r>
    <n v="1003"/>
    <n v="7382.8035943517334"/>
    <n v="773.10654685494228"/>
    <n v="9.5500000000000007"/>
    <x v="1"/>
  </r>
  <r>
    <n v="1004"/>
    <n v="5165.4453376205784"/>
    <n v="451.90032154340838"/>
    <n v="11.43"/>
    <x v="2"/>
  </r>
  <r>
    <n v="1005"/>
    <n v="6205.9807445442875"/>
    <n v="936.69191270860074"/>
    <n v="6.63"/>
    <x v="1"/>
  </r>
  <r>
    <n v="1006"/>
    <n v="6371.9615384615381"/>
    <n v="866.25256410256407"/>
    <n v="7.36"/>
    <x v="0"/>
  </r>
  <r>
    <n v="1007"/>
    <n v="6996.2040816326535"/>
    <n v="816.1454081632653"/>
    <n v="8.57"/>
    <x v="0"/>
  </r>
  <r>
    <n v="1008"/>
    <n v="5331.1033163265311"/>
    <n v="716.65178571428567"/>
    <n v="7.44"/>
    <x v="1"/>
  </r>
  <r>
    <n v="1009"/>
    <n v="4772.1848874598072"/>
    <n v="458.14951768488748"/>
    <n v="10.42"/>
    <x v="1"/>
  </r>
  <r>
    <n v="1010"/>
    <n v="8874.1568877551017"/>
    <n v="807.47066326530614"/>
    <n v="10.99"/>
    <x v="2"/>
  </r>
  <r>
    <n v="1011"/>
    <n v="7878.237483953787"/>
    <n v="943.32734274711163"/>
    <n v="8.35"/>
    <x v="1"/>
  </r>
  <r>
    <n v="1012"/>
    <n v="6049.7106109324759"/>
    <n v="517.01286173633446"/>
    <n v="11.7"/>
    <x v="2"/>
  </r>
  <r>
    <n v="1013"/>
    <n v="3993.560975609756"/>
    <n v="443.14120667522462"/>
    <n v="9.01"/>
    <x v="1"/>
  </r>
  <r>
    <n v="1014"/>
    <n v="12206.806161745828"/>
    <n v="1349.6469833119384"/>
    <n v="9.0399999999999991"/>
    <x v="1"/>
  </r>
  <r>
    <n v="1015"/>
    <n v="6040.0295250320924"/>
    <n v="492.47496790757378"/>
    <n v="12.26"/>
    <x v="2"/>
  </r>
  <r>
    <n v="1016"/>
    <n v="5409.4146341463411"/>
    <n v="500.19255455712454"/>
    <n v="10.81"/>
    <x v="0"/>
  </r>
  <r>
    <n v="1017"/>
    <n v="7203.4291287386213"/>
    <n v="1015.7542262678803"/>
    <n v="7.09"/>
    <x v="0"/>
  </r>
  <r>
    <n v="1018"/>
    <n v="11748.342710997442"/>
    <n v="1359.4782608695652"/>
    <n v="8.64"/>
    <x v="0"/>
  </r>
  <r>
    <n v="1019"/>
    <n v="9071.0048154093092"/>
    <n v="753.56821829855539"/>
    <n v="12.04"/>
    <x v="2"/>
  </r>
  <r>
    <n v="1020"/>
    <n v="9032.4519846350831"/>
    <n v="1109.9103713188219"/>
    <n v="8.14"/>
    <x v="1"/>
  </r>
  <r>
    <n v="1021"/>
    <n v="8877.7480519480523"/>
    <n v="1062.0090909090909"/>
    <n v="8.36"/>
    <x v="1"/>
  </r>
  <r>
    <n v="1022"/>
    <n v="7325.0051347881899"/>
    <n v="823.02310654685493"/>
    <n v="8.9"/>
    <x v="1"/>
  </r>
  <r>
    <n v="1023"/>
    <n v="6152.6179487179488"/>
    <n v="630.16794871794866"/>
    <n v="9.76"/>
    <x v="0"/>
  </r>
  <r>
    <n v="1024"/>
    <n v="6135.470663265306"/>
    <n v="785.43367346938771"/>
    <n v="7.81"/>
    <x v="0"/>
  </r>
  <r>
    <n v="1025"/>
    <n v="7425.5012886597942"/>
    <n v="866.69974226804129"/>
    <n v="8.57"/>
    <x v="1"/>
  </r>
  <r>
    <n v="1026"/>
    <n v="9495.6161745827976"/>
    <n v="1180.2888318356868"/>
    <n v="8.0500000000000007"/>
    <x v="0"/>
  </r>
  <r>
    <n v="1027"/>
    <n v="13104.088282504013"/>
    <n v="1657.9325842696628"/>
    <n v="7.9"/>
    <x v="1"/>
  </r>
  <r>
    <n v="1028"/>
    <n v="4732.635430038511"/>
    <n v="546.58023106546852"/>
    <n v="8.66"/>
    <x v="1"/>
  </r>
  <r>
    <n v="1029"/>
    <n v="5416.4974358974359"/>
    <n v="757.72179487179483"/>
    <n v="7.15"/>
    <x v="1"/>
  </r>
  <r>
    <n v="1030"/>
    <n v="3610.6705128205126"/>
    <n v="331.91794871794872"/>
    <n v="10.88"/>
    <x v="1"/>
  </r>
  <r>
    <n v="1031"/>
    <n v="4843.85622593068"/>
    <n v="417.96919127086005"/>
    <n v="11.59"/>
    <x v="2"/>
  </r>
  <r>
    <n v="1032"/>
    <n v="9195.1987179487187"/>
    <n v="964.27692307692303"/>
    <n v="9.5399999999999991"/>
    <x v="2"/>
  </r>
  <r>
    <n v="1033"/>
    <n v="13865.140306122448"/>
    <n v="1299.2308673469388"/>
    <n v="10.67"/>
    <x v="1"/>
  </r>
  <r>
    <n v="1034"/>
    <n v="6503.7756410256407"/>
    <n v="728.39743589743591"/>
    <n v="8.93"/>
    <x v="1"/>
  </r>
  <r>
    <n v="1035"/>
    <n v="4876.6589743589748"/>
    <n v="577.46538461538466"/>
    <n v="8.44"/>
    <x v="1"/>
  </r>
  <r>
    <n v="1036"/>
    <n v="4986.2028241335047"/>
    <n v="471.59435173299102"/>
    <n v="10.57"/>
    <x v="2"/>
  </r>
  <r>
    <n v="1037"/>
    <n v="6906.4435897435897"/>
    <n v="873.94743589743587"/>
    <n v="7.9"/>
    <x v="1"/>
  </r>
  <r>
    <n v="1038"/>
    <n v="5897.2620578778133"/>
    <n v="513.43729903536973"/>
    <n v="11.49"/>
    <x v="2"/>
  </r>
  <r>
    <n v="1039"/>
    <n v="8181.42542153048"/>
    <n v="1037.385214007782"/>
    <n v="7.89"/>
    <x v="1"/>
  </r>
  <r>
    <n v="1040"/>
    <n v="8697.5096277278553"/>
    <n v="866.15404364569963"/>
    <n v="10.039999999999999"/>
    <x v="1"/>
  </r>
  <r>
    <n v="1041"/>
    <n v="6111.7154340836014"/>
    <n v="655.97266881028941"/>
    <n v="9.32"/>
    <x v="0"/>
  </r>
  <r>
    <n v="1042"/>
    <n v="4131.2503209242623"/>
    <n v="546.85750962772784"/>
    <n v="7.55"/>
    <x v="1"/>
  </r>
  <r>
    <n v="1043"/>
    <n v="8792.8282051282058"/>
    <n v="1206.9807692307693"/>
    <n v="7.28"/>
    <x v="0"/>
  </r>
  <r>
    <n v="1044"/>
    <n v="6622.0193050193047"/>
    <n v="894.75546975546979"/>
    <n v="7.4"/>
    <x v="0"/>
  </r>
  <r>
    <n v="1045"/>
    <n v="7535.886749716874"/>
    <n v="915.24688561721405"/>
    <n v="8.23"/>
    <x v="1"/>
  </r>
  <r>
    <n v="1046"/>
    <n v="8698.3538461538465"/>
    <n v="684.06410256410254"/>
    <n v="12.72"/>
    <x v="2"/>
  </r>
  <r>
    <n v="1047"/>
    <n v="4885.4690721649486"/>
    <n v="525.64690721649481"/>
    <n v="9.2899999999999991"/>
    <x v="1"/>
  </r>
  <r>
    <n v="1048"/>
    <n v="6887.1685823754788"/>
    <n v="531.58237547892725"/>
    <n v="12.96"/>
    <x v="2"/>
  </r>
  <r>
    <n v="1049"/>
    <n v="3985.379421221865"/>
    <n v="636.25723472668813"/>
    <n v="6.26"/>
    <x v="1"/>
  </r>
  <r>
    <n v="1050"/>
    <n v="7389.5147247119075"/>
    <n v="517.72343149807944"/>
    <n v="14.27"/>
    <x v="2"/>
  </r>
  <r>
    <n v="1051"/>
    <n v="7490.758485639687"/>
    <n v="1006.3446475195823"/>
    <n v="7.44"/>
    <x v="0"/>
  </r>
  <r>
    <n v="1052"/>
    <n v="7269.3953786906286"/>
    <n v="756.07702182284982"/>
    <n v="9.61"/>
    <x v="1"/>
  </r>
  <r>
    <n v="1053"/>
    <n v="8932.3073979591845"/>
    <n v="1009.7729591836735"/>
    <n v="8.85"/>
    <x v="1"/>
  </r>
  <r>
    <n v="1054"/>
    <n v="6034.2321428571431"/>
    <n v="616.97576530612241"/>
    <n v="9.7799999999999994"/>
    <x v="1"/>
  </r>
  <r>
    <n v="1055"/>
    <n v="7914.5938697318006"/>
    <n v="990.40613026819926"/>
    <n v="7.99"/>
    <x v="0"/>
  </r>
  <r>
    <n v="1056"/>
    <n v="3877.2985553772069"/>
    <n v="369.83627608346711"/>
    <n v="10.48"/>
    <x v="2"/>
  </r>
  <r>
    <n v="1057"/>
    <n v="6423.9961734693879"/>
    <n v="640.41198979591832"/>
    <n v="10.029999999999999"/>
    <x v="2"/>
  </r>
  <r>
    <n v="1058"/>
    <n v="7263.3388960205393"/>
    <n v="700.91014120667523"/>
    <n v="10.36"/>
    <x v="1"/>
  </r>
  <r>
    <n v="1059"/>
    <n v="8424.5522959183672"/>
    <n v="1153.7512755102041"/>
    <n v="7.3"/>
    <x v="0"/>
  </r>
  <r>
    <n v="1060"/>
    <n v="7327.3132220795897"/>
    <n v="848.10654685494228"/>
    <n v="8.64"/>
    <x v="1"/>
  </r>
  <r>
    <n v="1061"/>
    <n v="7378.3397683397679"/>
    <n v="554.73101673101678"/>
    <n v="13.3"/>
    <x v="2"/>
  </r>
  <r>
    <n v="1062"/>
    <n v="6405.9807445442875"/>
    <n v="592.42875481386397"/>
    <n v="10.81"/>
    <x v="2"/>
  </r>
  <r>
    <n v="1063"/>
    <n v="4271.2869897959181"/>
    <n v="530.94515306122446"/>
    <n v="8.0399999999999991"/>
    <x v="1"/>
  </r>
  <r>
    <n v="1064"/>
    <n v="9455.5789473684217"/>
    <n v="1067.8587933247754"/>
    <n v="8.85"/>
    <x v="1"/>
  </r>
  <r>
    <n v="1065"/>
    <n v="4198.1623794212219"/>
    <n v="485.2636655948553"/>
    <n v="8.65"/>
    <x v="1"/>
  </r>
  <r>
    <n v="1066"/>
    <n v="11073.919127086008"/>
    <n v="1125.9268292682927"/>
    <n v="9.84"/>
    <x v="1"/>
  </r>
  <r>
    <n v="1067"/>
    <n v="5756.1864951768484"/>
    <n v="490.37299035369773"/>
    <n v="11.74"/>
    <x v="2"/>
  </r>
  <r>
    <n v="1068"/>
    <n v="4441.5366795366799"/>
    <n v="309.54440154440152"/>
    <n v="14.35"/>
    <x v="2"/>
  </r>
  <r>
    <n v="1069"/>
    <n v="6305.2698209718674"/>
    <n v="794.70204603580567"/>
    <n v="7.93"/>
    <x v="1"/>
  </r>
  <r>
    <n v="1070"/>
    <n v="7034.7117346938776"/>
    <n v="867.95280612244903"/>
    <n v="8.1"/>
    <x v="0"/>
  </r>
  <r>
    <n v="1071"/>
    <n v="6027.2257653061224"/>
    <n v="728.61989795918362"/>
    <n v="8.27"/>
    <x v="1"/>
  </r>
  <r>
    <n v="1072"/>
    <n v="6821.9114249037229"/>
    <n v="642.07317073170736"/>
    <n v="10.62"/>
    <x v="1"/>
  </r>
  <r>
    <n v="1073"/>
    <n v="7276.7920410783054"/>
    <n v="918.26315789473688"/>
    <n v="7.92"/>
    <x v="1"/>
  </r>
  <r>
    <n v="1074"/>
    <n v="5146.2435897435898"/>
    <n v="555.60769230769233"/>
    <n v="9.26"/>
    <x v="0"/>
  </r>
  <r>
    <n v="1075"/>
    <n v="11485.389030612245"/>
    <n v="1092.7602040816328"/>
    <n v="10.51"/>
    <x v="1"/>
  </r>
  <r>
    <n v="1076"/>
    <n v="3620.0256739409501"/>
    <n v="545.44929396662383"/>
    <n v="6.64"/>
    <x v="1"/>
  </r>
  <r>
    <n v="1077"/>
    <n v="4489.767650834403"/>
    <n v="495.93966623876764"/>
    <n v="9.0500000000000007"/>
    <x v="1"/>
  </r>
  <r>
    <n v="1078"/>
    <n v="6808.0797940797938"/>
    <n v="523.62934362934368"/>
    <n v="13"/>
    <x v="2"/>
  </r>
  <r>
    <n v="1079"/>
    <n v="8685.3124199743925"/>
    <n v="689.32650448143409"/>
    <n v="12.6"/>
    <x v="1"/>
  </r>
  <r>
    <n v="1080"/>
    <n v="10190.765273311898"/>
    <n v="841.53054662379418"/>
    <n v="12.11"/>
    <x v="1"/>
  </r>
  <r>
    <n v="1081"/>
    <n v="5924.9194187582561"/>
    <n v="937.17833553500657"/>
    <n v="6.32"/>
    <x v="3"/>
  </r>
  <r>
    <n v="1082"/>
    <n v="7044.7871794871799"/>
    <n v="1034.6961538461539"/>
    <n v="6.81"/>
    <x v="0"/>
  </r>
  <r>
    <n v="1083"/>
    <n v="5146.3687580025608"/>
    <n v="360.65044814340587"/>
    <n v="14.27"/>
    <x v="2"/>
  </r>
  <r>
    <n v="1084"/>
    <n v="6271.369565217391"/>
    <n v="807.95907928388749"/>
    <n v="7.76"/>
    <x v="1"/>
  </r>
  <r>
    <n v="1085"/>
    <n v="7567.2334183673465"/>
    <n v="760.32015306122446"/>
    <n v="9.9499999999999993"/>
    <x v="0"/>
  </r>
  <r>
    <n v="1086"/>
    <n v="7677.4097311139567"/>
    <n v="839.13444302176697"/>
    <n v="9.15"/>
    <x v="1"/>
  </r>
  <r>
    <n v="1087"/>
    <n v="6282.2028061224491"/>
    <n v="615.48086734693879"/>
    <n v="10.210000000000001"/>
    <x v="2"/>
  </r>
  <r>
    <n v="1088"/>
    <n v="5084.7034659820283"/>
    <n v="485.14762516046216"/>
    <n v="10.48"/>
    <x v="1"/>
  </r>
  <r>
    <n v="1089"/>
    <n v="10160.761232349165"/>
    <n v="1002.5750962772786"/>
    <n v="10.130000000000001"/>
    <x v="2"/>
  </r>
  <r>
    <n v="1090"/>
    <n v="6453.0717948717947"/>
    <n v="785.66025641025647"/>
    <n v="8.2100000000000009"/>
    <x v="1"/>
  </r>
  <r>
    <n v="1091"/>
    <n v="8276.3456632653069"/>
    <n v="697.19132653061229"/>
    <n v="11.87"/>
    <x v="1"/>
  </r>
  <r>
    <n v="1092"/>
    <n v="11960.538585209004"/>
    <n v="1165.0225080385851"/>
    <n v="10.27"/>
    <x v="1"/>
  </r>
  <r>
    <n v="1093"/>
    <n v="8338.8269230769238"/>
    <n v="869.45"/>
    <n v="9.59"/>
    <x v="0"/>
  </r>
  <r>
    <n v="1094"/>
    <n v="4574.7154340836014"/>
    <n v="373.84244372990355"/>
    <n v="12.24"/>
    <x v="2"/>
  </r>
  <r>
    <n v="1095"/>
    <n v="4781.4156010230181"/>
    <n v="677.8324808184143"/>
    <n v="7.05"/>
    <x v="1"/>
  </r>
  <r>
    <n v="1096"/>
    <n v="5456.5237483953788"/>
    <n v="633.06290115532738"/>
    <n v="8.6199999999999992"/>
    <x v="1"/>
  </r>
  <r>
    <n v="1097"/>
    <n v="9744.5997876857746"/>
    <n v="2420.9214437367305"/>
    <n v="4.03"/>
    <x v="3"/>
  </r>
  <r>
    <n v="1098"/>
    <n v="5259.4974358974359"/>
    <n v="709.07692307692309"/>
    <n v="7.42"/>
    <x v="1"/>
  </r>
  <r>
    <n v="1099"/>
    <n v="7743.1119820828671"/>
    <n v="979.94960806271001"/>
    <n v="7.9"/>
    <x v="1"/>
  </r>
  <r>
    <n v="1100"/>
    <n v="5405.1543450064855"/>
    <n v="667.31906614785987"/>
    <n v="8.1"/>
    <x v="1"/>
  </r>
  <r>
    <n v="1101"/>
    <n v="9972.2665816326535"/>
    <n v="988.45025510204084"/>
    <n v="10.09"/>
    <x v="2"/>
  </r>
  <r>
    <n v="1102"/>
    <n v="6999.9887459807078"/>
    <n v="706.47749196141478"/>
    <n v="9.91"/>
    <x v="1"/>
  </r>
  <r>
    <n v="1103"/>
    <n v="5019.5441741357236"/>
    <n v="385.66453265044817"/>
    <n v="13.02"/>
    <x v="2"/>
  </r>
  <r>
    <n v="1104"/>
    <n v="5461.4340836012861"/>
    <n v="431.21382636655949"/>
    <n v="12.67"/>
    <x v="2"/>
  </r>
  <r>
    <n v="1105"/>
    <n v="4564.5725288831836"/>
    <n v="510.03594351732988"/>
    <n v="8.9499999999999993"/>
    <x v="0"/>
  </r>
  <r>
    <n v="1106"/>
    <n v="4894.095663265306"/>
    <n v="557.61352040816325"/>
    <n v="8.7799999999999994"/>
    <x v="1"/>
  </r>
  <r>
    <n v="1107"/>
    <n v="6231.7207062600319"/>
    <n v="668.53130016051364"/>
    <n v="9.32"/>
    <x v="1"/>
  </r>
  <r>
    <n v="1108"/>
    <n v="5746.9217948717951"/>
    <n v="590.26666666666665"/>
    <n v="9.74"/>
    <x v="1"/>
  </r>
  <r>
    <n v="1109"/>
    <n v="4927.2041800643083"/>
    <n v="452.33762057877811"/>
    <n v="10.89"/>
    <x v="0"/>
  </r>
  <r>
    <n v="1110"/>
    <n v="4531.9106002554281"/>
    <n v="540.17624521072798"/>
    <n v="8.39"/>
    <x v="0"/>
  </r>
  <r>
    <n v="1111"/>
    <n v="5251.7021822849811"/>
    <n v="451.71116816431322"/>
    <n v="11.63"/>
    <x v="1"/>
  </r>
  <r>
    <n v="1112"/>
    <n v="10236.577663671373"/>
    <n v="838.60847240051351"/>
    <n v="12.21"/>
    <x v="0"/>
  </r>
  <r>
    <n v="1113"/>
    <n v="6627.8596938775509"/>
    <n v="717.02933673469386"/>
    <n v="9.24"/>
    <x v="1"/>
  </r>
  <r>
    <n v="1114"/>
    <n v="20666.5625"/>
    <n v="3200.9464285714284"/>
    <n v="6.46"/>
    <x v="1"/>
  </r>
  <r>
    <n v="1115"/>
    <n v="6302.4699103713192"/>
    <n v="432.62996158770807"/>
    <n v="14.5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1F9B4-1552-5144-94AF-AD09E30C2D7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5">
    <pivotField showAll="0"/>
    <pivotField dataField="1" numFmtId="43" showAll="0"/>
    <pivotField numFmtId="43" showAll="0"/>
    <pivotField showAll="0"/>
    <pivotField axis="axisRow" showAll="0">
      <items count="5">
        <item x="1"/>
        <item x="3"/>
        <item x="0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rageSales" fld="1" subtotal="average" baseField="0" baseItem="0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C461318-D928-D042-9E4F-D95A9A2BB73F}" autoFormatId="16" applyNumberFormats="0" applyBorderFormats="0" applyFontFormats="0" applyPatternFormats="0" applyAlignmentFormats="0" applyWidthHeightFormats="0">
  <queryTableRefresh nextId="11">
    <queryTableFields count="10">
      <queryTableField id="1" name="Store" tableColumnId="1"/>
      <queryTableField id="2" name="StoreType" tableColumnId="2"/>
      <queryTableField id="3" name="Assortment" tableColumnId="3"/>
      <queryTableField id="4" name="CompetitionDistance" tableColumnId="4"/>
      <queryTableField id="5" name="CompetitionOpenSinceMonth" tableColumnId="5"/>
      <queryTableField id="6" name="CompetitionOpenSinceYear" tableColumnId="6"/>
      <queryTableField id="7" name="Promo2" tableColumnId="7"/>
      <queryTableField id="8" name="Promo2SinceWeek" tableColumnId="8"/>
      <queryTableField id="9" name="Promo2SinceYear" tableColumnId="9"/>
      <queryTableField id="10" name="PromoInterva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EC4B58-1649-9E4E-938B-912CEE4B0E0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Store" tableColumnId="1"/>
      <queryTableField id="2" name="AverageSales" tableColumnId="2"/>
      <queryTableField id="3" name="AverageCustomers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9296C9-AF76-C042-A7BE-0F3EF8DD0405}" name="store_clean" displayName="store_clean" ref="A1:J1116" tableType="queryTable" totalsRowShown="0">
  <autoFilter ref="A1:J1116" xr:uid="{199296C9-AF76-C042-A7BE-0F3EF8DD0405}"/>
  <tableColumns count="10">
    <tableColumn id="1" xr3:uid="{ACA4C24A-E682-2947-84C7-8F0C4AB82F71}" uniqueName="1" name="Store" queryTableFieldId="1"/>
    <tableColumn id="2" xr3:uid="{8EFD4752-BE27-C04B-B7D2-6AE7658E85CA}" uniqueName="2" name="StoreType" queryTableFieldId="2" dataDxfId="3"/>
    <tableColumn id="3" xr3:uid="{EEB86896-8906-E248-A69F-A7D0ADF4D0DD}" uniqueName="3" name="Assortment" queryTableFieldId="3" dataDxfId="2"/>
    <tableColumn id="4" xr3:uid="{6D0ADCF2-3579-1F4A-8D56-E9C40C473E08}" uniqueName="4" name="CompetitionDistance" queryTableFieldId="4"/>
    <tableColumn id="5" xr3:uid="{11A3AFA4-FD4B-F54B-A55C-32622DAA8E35}" uniqueName="5" name="CompetitionOpenSinceMonth" queryTableFieldId="5"/>
    <tableColumn id="6" xr3:uid="{561A76C5-C059-2947-B9EF-7F273C95191A}" uniqueName="6" name="CompetitionOpenSinceYear" queryTableFieldId="6"/>
    <tableColumn id="7" xr3:uid="{3C80EDDF-AE69-3240-B0EF-E44C50D9082A}" uniqueName="7" name="Promo2" queryTableFieldId="7"/>
    <tableColumn id="8" xr3:uid="{B167CA6A-CEDE-3E48-971E-DDAAD96A7EAD}" uniqueName="8" name="Promo2SinceWeek" queryTableFieldId="8"/>
    <tableColumn id="9" xr3:uid="{F2B2C3A7-A4EB-3345-B90A-A9114A4C1BFB}" uniqueName="9" name="Promo2SinceYear" queryTableFieldId="9"/>
    <tableColumn id="10" xr3:uid="{1DADB111-E347-6440-87C5-F855F17B0150}" uniqueName="10" name="PromoInterval" queryTableFieldId="10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223D3-70CB-4241-A1E3-BFA9A8A34E14}" name="store_performance" displayName="store_performance" ref="A1:E1116" tableType="queryTable" totalsRowShown="0">
  <autoFilter ref="A1:E1116" xr:uid="{1A6223D3-70CB-4241-A1E3-BFA9A8A34E14}"/>
  <tableColumns count="5">
    <tableColumn id="1" xr3:uid="{5D107887-4BAA-A64B-8EA1-94DF4DDEDF88}" uniqueName="1" name="Store" queryTableFieldId="1"/>
    <tableColumn id="2" xr3:uid="{D75E8814-5E29-DC41-B85A-C5C70449442F}" uniqueName="2" name="AverageSales" queryTableFieldId="2" dataCellStyle="Comma"/>
    <tableColumn id="3" xr3:uid="{48BFD33E-6F11-9C4F-8DBA-66FE06956E07}" uniqueName="3" name="AverageCustomers" queryTableFieldId="3" dataCellStyle="Comma"/>
    <tableColumn id="4" xr3:uid="{93CD1A59-011B-8043-8BC4-078E2A7AA837}" uniqueName="4" name="SalesPerCustomer" queryTableFieldId="4" dataDxfId="4">
      <calculatedColumnFormula>ROUND(store_performance[[#This Row],[AverageSales]]/store_performance[[#This Row],[AverageCustomers]],2)</calculatedColumnFormula>
    </tableColumn>
    <tableColumn id="5" xr3:uid="{2E1F46AA-A064-8E47-9121-7D9A3F28B8AC}" uniqueName="5" name="StoreType" queryTableFieldId="5" dataDxfId="0">
      <calculatedColumnFormula>_xlfn.XLOOKUP(store_performance[[#This Row],[Store]],store_clean[Store],store_clean[StoreType],"Not Found")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1933-5653-C744-A610-8209C0093FDD}">
  <dimension ref="A1:J1116"/>
  <sheetViews>
    <sheetView workbookViewId="0"/>
  </sheetViews>
  <sheetFormatPr baseColWidth="10" defaultRowHeight="16" x14ac:dyDescent="0.2"/>
  <cols>
    <col min="1" max="1" width="8" bestFit="1" customWidth="1"/>
    <col min="2" max="2" width="11.6640625" bestFit="1" customWidth="1"/>
    <col min="3" max="3" width="13.5" bestFit="1" customWidth="1"/>
    <col min="4" max="4" width="21.6640625" bestFit="1" customWidth="1"/>
    <col min="5" max="5" width="28.33203125" bestFit="1" customWidth="1"/>
    <col min="6" max="6" width="26.83203125" bestFit="1" customWidth="1"/>
    <col min="7" max="7" width="10.1640625" bestFit="1" customWidth="1"/>
    <col min="8" max="8" width="19.5" bestFit="1" customWidth="1"/>
    <col min="9" max="9" width="18.33203125" bestFit="1" customWidth="1"/>
    <col min="10" max="10" width="15.5" bestFit="1" customWidth="1"/>
  </cols>
  <sheetData>
    <row r="1" spans="1:10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">
      <c r="A2">
        <v>1</v>
      </c>
      <c r="B2" s="2" t="s">
        <v>13</v>
      </c>
      <c r="C2" s="2" t="s">
        <v>14</v>
      </c>
      <c r="D2">
        <v>1270</v>
      </c>
      <c r="E2">
        <v>9</v>
      </c>
      <c r="F2">
        <v>2008</v>
      </c>
      <c r="G2">
        <v>0</v>
      </c>
      <c r="H2">
        <v>0</v>
      </c>
      <c r="I2">
        <v>0</v>
      </c>
      <c r="J2" s="2" t="s">
        <v>15</v>
      </c>
    </row>
    <row r="3" spans="1:10" x14ac:dyDescent="0.2">
      <c r="A3">
        <v>2</v>
      </c>
      <c r="B3" s="2" t="s">
        <v>14</v>
      </c>
      <c r="C3" s="2" t="s">
        <v>14</v>
      </c>
      <c r="D3">
        <v>570</v>
      </c>
      <c r="E3">
        <v>11</v>
      </c>
      <c r="F3">
        <v>2007</v>
      </c>
      <c r="G3">
        <v>1</v>
      </c>
      <c r="H3">
        <v>13</v>
      </c>
      <c r="I3">
        <v>2010</v>
      </c>
      <c r="J3" s="2" t="s">
        <v>16</v>
      </c>
    </row>
    <row r="4" spans="1:10" x14ac:dyDescent="0.2">
      <c r="A4">
        <v>3</v>
      </c>
      <c r="B4" s="2" t="s">
        <v>14</v>
      </c>
      <c r="C4" s="2" t="s">
        <v>14</v>
      </c>
      <c r="D4">
        <v>14130</v>
      </c>
      <c r="E4">
        <v>12</v>
      </c>
      <c r="F4">
        <v>2006</v>
      </c>
      <c r="G4">
        <v>1</v>
      </c>
      <c r="H4">
        <v>14</v>
      </c>
      <c r="I4">
        <v>2011</v>
      </c>
      <c r="J4" s="2" t="s">
        <v>16</v>
      </c>
    </row>
    <row r="5" spans="1:10" x14ac:dyDescent="0.2">
      <c r="A5">
        <v>4</v>
      </c>
      <c r="B5" s="2" t="s">
        <v>13</v>
      </c>
      <c r="C5" s="2" t="s">
        <v>13</v>
      </c>
      <c r="D5">
        <v>620</v>
      </c>
      <c r="E5">
        <v>9</v>
      </c>
      <c r="F5">
        <v>2009</v>
      </c>
      <c r="G5">
        <v>0</v>
      </c>
      <c r="H5">
        <v>0</v>
      </c>
      <c r="I5">
        <v>0</v>
      </c>
      <c r="J5" s="2" t="s">
        <v>15</v>
      </c>
    </row>
    <row r="6" spans="1:10" x14ac:dyDescent="0.2">
      <c r="A6">
        <v>5</v>
      </c>
      <c r="B6" s="2" t="s">
        <v>14</v>
      </c>
      <c r="C6" s="2" t="s">
        <v>14</v>
      </c>
      <c r="D6">
        <v>29910</v>
      </c>
      <c r="E6">
        <v>4</v>
      </c>
      <c r="F6">
        <v>2015</v>
      </c>
      <c r="G6">
        <v>0</v>
      </c>
      <c r="H6">
        <v>0</v>
      </c>
      <c r="I6">
        <v>0</v>
      </c>
      <c r="J6" s="2" t="s">
        <v>15</v>
      </c>
    </row>
    <row r="7" spans="1:10" x14ac:dyDescent="0.2">
      <c r="A7">
        <v>6</v>
      </c>
      <c r="B7" s="2" t="s">
        <v>14</v>
      </c>
      <c r="C7" s="2" t="s">
        <v>14</v>
      </c>
      <c r="D7">
        <v>310</v>
      </c>
      <c r="E7">
        <v>12</v>
      </c>
      <c r="F7">
        <v>2013</v>
      </c>
      <c r="G7">
        <v>0</v>
      </c>
      <c r="H7">
        <v>0</v>
      </c>
      <c r="I7">
        <v>0</v>
      </c>
      <c r="J7" s="2" t="s">
        <v>15</v>
      </c>
    </row>
    <row r="8" spans="1:10" x14ac:dyDescent="0.2">
      <c r="A8">
        <v>7</v>
      </c>
      <c r="B8" s="2" t="s">
        <v>14</v>
      </c>
      <c r="C8" s="2" t="s">
        <v>13</v>
      </c>
      <c r="D8">
        <v>24000</v>
      </c>
      <c r="E8">
        <v>4</v>
      </c>
      <c r="F8">
        <v>2013</v>
      </c>
      <c r="G8">
        <v>0</v>
      </c>
      <c r="H8">
        <v>0</v>
      </c>
      <c r="I8">
        <v>0</v>
      </c>
      <c r="J8" s="2" t="s">
        <v>15</v>
      </c>
    </row>
    <row r="9" spans="1:10" x14ac:dyDescent="0.2">
      <c r="A9">
        <v>8</v>
      </c>
      <c r="B9" s="2" t="s">
        <v>14</v>
      </c>
      <c r="C9" s="2" t="s">
        <v>14</v>
      </c>
      <c r="D9">
        <v>7520</v>
      </c>
      <c r="E9">
        <v>10</v>
      </c>
      <c r="F9">
        <v>2014</v>
      </c>
      <c r="G9">
        <v>0</v>
      </c>
      <c r="H9">
        <v>0</v>
      </c>
      <c r="I9">
        <v>0</v>
      </c>
      <c r="J9" s="2" t="s">
        <v>15</v>
      </c>
    </row>
    <row r="10" spans="1:10" x14ac:dyDescent="0.2">
      <c r="A10">
        <v>9</v>
      </c>
      <c r="B10" s="2" t="s">
        <v>14</v>
      </c>
      <c r="C10" s="2" t="s">
        <v>13</v>
      </c>
      <c r="D10">
        <v>2030</v>
      </c>
      <c r="E10">
        <v>8</v>
      </c>
      <c r="F10">
        <v>2000</v>
      </c>
      <c r="G10">
        <v>0</v>
      </c>
      <c r="H10">
        <v>0</v>
      </c>
      <c r="I10">
        <v>0</v>
      </c>
      <c r="J10" s="2" t="s">
        <v>15</v>
      </c>
    </row>
    <row r="11" spans="1:10" x14ac:dyDescent="0.2">
      <c r="A11">
        <v>10</v>
      </c>
      <c r="B11" s="2" t="s">
        <v>14</v>
      </c>
      <c r="C11" s="2" t="s">
        <v>14</v>
      </c>
      <c r="D11">
        <v>3160</v>
      </c>
      <c r="E11">
        <v>9</v>
      </c>
      <c r="F11">
        <v>2009</v>
      </c>
      <c r="G11">
        <v>0</v>
      </c>
      <c r="H11">
        <v>0</v>
      </c>
      <c r="I11">
        <v>0</v>
      </c>
      <c r="J11" s="2" t="s">
        <v>15</v>
      </c>
    </row>
    <row r="12" spans="1:10" x14ac:dyDescent="0.2">
      <c r="A12">
        <v>11</v>
      </c>
      <c r="B12" s="2" t="s">
        <v>14</v>
      </c>
      <c r="C12" s="2" t="s">
        <v>13</v>
      </c>
      <c r="D12">
        <v>960</v>
      </c>
      <c r="E12">
        <v>11</v>
      </c>
      <c r="F12">
        <v>2011</v>
      </c>
      <c r="G12">
        <v>1</v>
      </c>
      <c r="H12">
        <v>1</v>
      </c>
      <c r="I12">
        <v>2012</v>
      </c>
      <c r="J12" s="2" t="s">
        <v>16</v>
      </c>
    </row>
    <row r="13" spans="1:10" x14ac:dyDescent="0.2">
      <c r="A13">
        <v>12</v>
      </c>
      <c r="B13" s="2" t="s">
        <v>14</v>
      </c>
      <c r="C13" s="2" t="s">
        <v>13</v>
      </c>
      <c r="D13">
        <v>1070</v>
      </c>
      <c r="G13">
        <v>1</v>
      </c>
      <c r="H13">
        <v>13</v>
      </c>
      <c r="I13">
        <v>2010</v>
      </c>
      <c r="J13" s="2" t="s">
        <v>16</v>
      </c>
    </row>
    <row r="14" spans="1:10" x14ac:dyDescent="0.2">
      <c r="A14">
        <v>13</v>
      </c>
      <c r="B14" s="2" t="s">
        <v>17</v>
      </c>
      <c r="C14" s="2" t="s">
        <v>14</v>
      </c>
      <c r="D14">
        <v>310</v>
      </c>
      <c r="G14">
        <v>1</v>
      </c>
      <c r="H14">
        <v>45</v>
      </c>
      <c r="I14">
        <v>2009</v>
      </c>
      <c r="J14" s="2" t="s">
        <v>18</v>
      </c>
    </row>
    <row r="15" spans="1:10" x14ac:dyDescent="0.2">
      <c r="A15">
        <v>14</v>
      </c>
      <c r="B15" s="2" t="s">
        <v>14</v>
      </c>
      <c r="C15" s="2" t="s">
        <v>14</v>
      </c>
      <c r="D15">
        <v>1300</v>
      </c>
      <c r="E15">
        <v>3</v>
      </c>
      <c r="F15">
        <v>2014</v>
      </c>
      <c r="G15">
        <v>1</v>
      </c>
      <c r="H15">
        <v>40</v>
      </c>
      <c r="I15">
        <v>2011</v>
      </c>
      <c r="J15" s="2" t="s">
        <v>16</v>
      </c>
    </row>
    <row r="16" spans="1:10" x14ac:dyDescent="0.2">
      <c r="A16">
        <v>15</v>
      </c>
      <c r="B16" s="2" t="s">
        <v>17</v>
      </c>
      <c r="C16" s="2" t="s">
        <v>13</v>
      </c>
      <c r="D16">
        <v>4110</v>
      </c>
      <c r="E16">
        <v>3</v>
      </c>
      <c r="F16">
        <v>2010</v>
      </c>
      <c r="G16">
        <v>1</v>
      </c>
      <c r="H16">
        <v>14</v>
      </c>
      <c r="I16">
        <v>2011</v>
      </c>
      <c r="J16" s="2" t="s">
        <v>16</v>
      </c>
    </row>
    <row r="17" spans="1:10" x14ac:dyDescent="0.2">
      <c r="A17">
        <v>16</v>
      </c>
      <c r="B17" s="2" t="s">
        <v>14</v>
      </c>
      <c r="C17" s="2" t="s">
        <v>13</v>
      </c>
      <c r="D17">
        <v>3270</v>
      </c>
      <c r="G17">
        <v>0</v>
      </c>
      <c r="H17">
        <v>0</v>
      </c>
      <c r="I17">
        <v>0</v>
      </c>
      <c r="J17" s="2" t="s">
        <v>15</v>
      </c>
    </row>
    <row r="18" spans="1:10" x14ac:dyDescent="0.2">
      <c r="A18">
        <v>17</v>
      </c>
      <c r="B18" s="2" t="s">
        <v>14</v>
      </c>
      <c r="C18" s="2" t="s">
        <v>14</v>
      </c>
      <c r="D18">
        <v>50</v>
      </c>
      <c r="E18">
        <v>12</v>
      </c>
      <c r="F18">
        <v>2005</v>
      </c>
      <c r="G18">
        <v>1</v>
      </c>
      <c r="H18">
        <v>26</v>
      </c>
      <c r="I18">
        <v>2010</v>
      </c>
      <c r="J18" s="2" t="s">
        <v>16</v>
      </c>
    </row>
    <row r="19" spans="1:10" x14ac:dyDescent="0.2">
      <c r="A19">
        <v>18</v>
      </c>
      <c r="B19" s="2" t="s">
        <v>17</v>
      </c>
      <c r="C19" s="2" t="s">
        <v>13</v>
      </c>
      <c r="D19">
        <v>13840</v>
      </c>
      <c r="E19">
        <v>6</v>
      </c>
      <c r="F19">
        <v>2010</v>
      </c>
      <c r="G19">
        <v>1</v>
      </c>
      <c r="H19">
        <v>14</v>
      </c>
      <c r="I19">
        <v>2012</v>
      </c>
      <c r="J19" s="2" t="s">
        <v>16</v>
      </c>
    </row>
    <row r="20" spans="1:10" x14ac:dyDescent="0.2">
      <c r="A20">
        <v>19</v>
      </c>
      <c r="B20" s="2" t="s">
        <v>14</v>
      </c>
      <c r="C20" s="2" t="s">
        <v>13</v>
      </c>
      <c r="D20">
        <v>3240</v>
      </c>
      <c r="G20">
        <v>1</v>
      </c>
      <c r="H20">
        <v>22</v>
      </c>
      <c r="I20">
        <v>2011</v>
      </c>
      <c r="J20" s="2" t="s">
        <v>19</v>
      </c>
    </row>
    <row r="21" spans="1:10" x14ac:dyDescent="0.2">
      <c r="A21">
        <v>20</v>
      </c>
      <c r="B21" s="2" t="s">
        <v>17</v>
      </c>
      <c r="C21" s="2" t="s">
        <v>14</v>
      </c>
      <c r="D21">
        <v>2340</v>
      </c>
      <c r="E21">
        <v>5</v>
      </c>
      <c r="F21">
        <v>2009</v>
      </c>
      <c r="G21">
        <v>1</v>
      </c>
      <c r="H21">
        <v>40</v>
      </c>
      <c r="I21">
        <v>2014</v>
      </c>
      <c r="J21" s="2" t="s">
        <v>16</v>
      </c>
    </row>
    <row r="22" spans="1:10" x14ac:dyDescent="0.2">
      <c r="A22">
        <v>21</v>
      </c>
      <c r="B22" s="2" t="s">
        <v>13</v>
      </c>
      <c r="C22" s="2" t="s">
        <v>13</v>
      </c>
      <c r="D22">
        <v>550</v>
      </c>
      <c r="E22">
        <v>10</v>
      </c>
      <c r="F22">
        <v>1999</v>
      </c>
      <c r="G22">
        <v>1</v>
      </c>
      <c r="H22">
        <v>45</v>
      </c>
      <c r="I22">
        <v>2009</v>
      </c>
      <c r="J22" s="2" t="s">
        <v>16</v>
      </c>
    </row>
    <row r="23" spans="1:10" x14ac:dyDescent="0.2">
      <c r="A23">
        <v>22</v>
      </c>
      <c r="B23" s="2" t="s">
        <v>14</v>
      </c>
      <c r="C23" s="2" t="s">
        <v>14</v>
      </c>
      <c r="D23">
        <v>1040</v>
      </c>
      <c r="G23">
        <v>1</v>
      </c>
      <c r="H23">
        <v>22</v>
      </c>
      <c r="I23">
        <v>2012</v>
      </c>
      <c r="J23" s="2" t="s">
        <v>16</v>
      </c>
    </row>
    <row r="24" spans="1:10" x14ac:dyDescent="0.2">
      <c r="A24">
        <v>23</v>
      </c>
      <c r="B24" s="2" t="s">
        <v>17</v>
      </c>
      <c r="C24" s="2" t="s">
        <v>14</v>
      </c>
      <c r="D24">
        <v>4060</v>
      </c>
      <c r="E24">
        <v>8</v>
      </c>
      <c r="F24">
        <v>2005</v>
      </c>
      <c r="G24">
        <v>0</v>
      </c>
      <c r="H24">
        <v>0</v>
      </c>
      <c r="I24">
        <v>0</v>
      </c>
      <c r="J24" s="2" t="s">
        <v>15</v>
      </c>
    </row>
    <row r="25" spans="1:10" x14ac:dyDescent="0.2">
      <c r="A25">
        <v>24</v>
      </c>
      <c r="B25" s="2" t="s">
        <v>14</v>
      </c>
      <c r="C25" s="2" t="s">
        <v>13</v>
      </c>
      <c r="D25">
        <v>4590</v>
      </c>
      <c r="E25">
        <v>3</v>
      </c>
      <c r="F25">
        <v>2000</v>
      </c>
      <c r="G25">
        <v>1</v>
      </c>
      <c r="H25">
        <v>40</v>
      </c>
      <c r="I25">
        <v>2011</v>
      </c>
      <c r="J25" s="2" t="s">
        <v>16</v>
      </c>
    </row>
    <row r="26" spans="1:10" x14ac:dyDescent="0.2">
      <c r="A26">
        <v>25</v>
      </c>
      <c r="B26" s="2" t="s">
        <v>13</v>
      </c>
      <c r="C26" s="2" t="s">
        <v>14</v>
      </c>
      <c r="D26">
        <v>430</v>
      </c>
      <c r="E26">
        <v>4</v>
      </c>
      <c r="F26">
        <v>2003</v>
      </c>
      <c r="G26">
        <v>0</v>
      </c>
      <c r="H26">
        <v>0</v>
      </c>
      <c r="I26">
        <v>0</v>
      </c>
      <c r="J26" s="2" t="s">
        <v>15</v>
      </c>
    </row>
    <row r="27" spans="1:10" x14ac:dyDescent="0.2">
      <c r="A27">
        <v>26</v>
      </c>
      <c r="B27" s="2" t="s">
        <v>17</v>
      </c>
      <c r="C27" s="2" t="s">
        <v>14</v>
      </c>
      <c r="D27">
        <v>2300</v>
      </c>
      <c r="G27">
        <v>0</v>
      </c>
      <c r="H27">
        <v>0</v>
      </c>
      <c r="I27">
        <v>0</v>
      </c>
      <c r="J27" s="2" t="s">
        <v>15</v>
      </c>
    </row>
    <row r="28" spans="1:10" x14ac:dyDescent="0.2">
      <c r="A28">
        <v>27</v>
      </c>
      <c r="B28" s="2" t="s">
        <v>14</v>
      </c>
      <c r="C28" s="2" t="s">
        <v>14</v>
      </c>
      <c r="D28">
        <v>60</v>
      </c>
      <c r="E28">
        <v>1</v>
      </c>
      <c r="F28">
        <v>2005</v>
      </c>
      <c r="G28">
        <v>1</v>
      </c>
      <c r="H28">
        <v>5</v>
      </c>
      <c r="I28">
        <v>2011</v>
      </c>
      <c r="J28" s="2" t="s">
        <v>16</v>
      </c>
    </row>
    <row r="29" spans="1:10" x14ac:dyDescent="0.2">
      <c r="A29">
        <v>28</v>
      </c>
      <c r="B29" s="2" t="s">
        <v>14</v>
      </c>
      <c r="C29" s="2" t="s">
        <v>14</v>
      </c>
      <c r="D29">
        <v>1200</v>
      </c>
      <c r="E29">
        <v>10</v>
      </c>
      <c r="F29">
        <v>2014</v>
      </c>
      <c r="G29">
        <v>1</v>
      </c>
      <c r="H29">
        <v>6</v>
      </c>
      <c r="I29">
        <v>2015</v>
      </c>
      <c r="J29" s="2" t="s">
        <v>19</v>
      </c>
    </row>
    <row r="30" spans="1:10" x14ac:dyDescent="0.2">
      <c r="A30">
        <v>29</v>
      </c>
      <c r="B30" s="2" t="s">
        <v>17</v>
      </c>
      <c r="C30" s="2" t="s">
        <v>13</v>
      </c>
      <c r="D30">
        <v>2170</v>
      </c>
      <c r="G30">
        <v>0</v>
      </c>
      <c r="H30">
        <v>0</v>
      </c>
      <c r="I30">
        <v>0</v>
      </c>
      <c r="J30" s="2" t="s">
        <v>15</v>
      </c>
    </row>
    <row r="31" spans="1:10" x14ac:dyDescent="0.2">
      <c r="A31">
        <v>30</v>
      </c>
      <c r="B31" s="2" t="s">
        <v>14</v>
      </c>
      <c r="C31" s="2" t="s">
        <v>14</v>
      </c>
      <c r="D31">
        <v>40</v>
      </c>
      <c r="E31">
        <v>2</v>
      </c>
      <c r="F31">
        <v>2014</v>
      </c>
      <c r="G31">
        <v>1</v>
      </c>
      <c r="H31">
        <v>10</v>
      </c>
      <c r="I31">
        <v>2014</v>
      </c>
      <c r="J31" s="2" t="s">
        <v>19</v>
      </c>
    </row>
    <row r="32" spans="1:10" x14ac:dyDescent="0.2">
      <c r="A32">
        <v>31</v>
      </c>
      <c r="B32" s="2" t="s">
        <v>17</v>
      </c>
      <c r="C32" s="2" t="s">
        <v>13</v>
      </c>
      <c r="D32">
        <v>9800</v>
      </c>
      <c r="E32">
        <v>7</v>
      </c>
      <c r="F32">
        <v>2012</v>
      </c>
      <c r="G32">
        <v>0</v>
      </c>
      <c r="H32">
        <v>0</v>
      </c>
      <c r="I32">
        <v>0</v>
      </c>
      <c r="J32" s="2" t="s">
        <v>15</v>
      </c>
    </row>
    <row r="33" spans="1:10" x14ac:dyDescent="0.2">
      <c r="A33">
        <v>32</v>
      </c>
      <c r="B33" s="2" t="s">
        <v>14</v>
      </c>
      <c r="C33" s="2" t="s">
        <v>14</v>
      </c>
      <c r="D33">
        <v>2910</v>
      </c>
      <c r="G33">
        <v>1</v>
      </c>
      <c r="H33">
        <v>45</v>
      </c>
      <c r="I33">
        <v>2009</v>
      </c>
      <c r="J33" s="2" t="s">
        <v>18</v>
      </c>
    </row>
    <row r="34" spans="1:10" x14ac:dyDescent="0.2">
      <c r="A34">
        <v>33</v>
      </c>
      <c r="B34" s="2" t="s">
        <v>14</v>
      </c>
      <c r="C34" s="2" t="s">
        <v>13</v>
      </c>
      <c r="D34">
        <v>1320</v>
      </c>
      <c r="E34">
        <v>5</v>
      </c>
      <c r="F34">
        <v>2013</v>
      </c>
      <c r="G34">
        <v>0</v>
      </c>
      <c r="H34">
        <v>0</v>
      </c>
      <c r="I34">
        <v>0</v>
      </c>
      <c r="J34" s="2" t="s">
        <v>15</v>
      </c>
    </row>
    <row r="35" spans="1:10" x14ac:dyDescent="0.2">
      <c r="A35">
        <v>34</v>
      </c>
      <c r="B35" s="2" t="s">
        <v>13</v>
      </c>
      <c r="C35" s="2" t="s">
        <v>14</v>
      </c>
      <c r="D35">
        <v>2240</v>
      </c>
      <c r="E35">
        <v>9</v>
      </c>
      <c r="F35">
        <v>2009</v>
      </c>
      <c r="G35">
        <v>0</v>
      </c>
      <c r="H35">
        <v>0</v>
      </c>
      <c r="I35">
        <v>0</v>
      </c>
      <c r="J35" s="2" t="s">
        <v>15</v>
      </c>
    </row>
    <row r="36" spans="1:10" x14ac:dyDescent="0.2">
      <c r="A36">
        <v>35</v>
      </c>
      <c r="B36" s="2" t="s">
        <v>17</v>
      </c>
      <c r="C36" s="2" t="s">
        <v>13</v>
      </c>
      <c r="D36">
        <v>7660</v>
      </c>
      <c r="E36">
        <v>10</v>
      </c>
      <c r="F36">
        <v>2000</v>
      </c>
      <c r="G36">
        <v>1</v>
      </c>
      <c r="H36">
        <v>1</v>
      </c>
      <c r="I36">
        <v>2012</v>
      </c>
      <c r="J36" s="2" t="s">
        <v>16</v>
      </c>
    </row>
    <row r="37" spans="1:10" x14ac:dyDescent="0.2">
      <c r="A37">
        <v>36</v>
      </c>
      <c r="B37" s="2" t="s">
        <v>14</v>
      </c>
      <c r="C37" s="2" t="s">
        <v>13</v>
      </c>
      <c r="D37">
        <v>540</v>
      </c>
      <c r="E37">
        <v>6</v>
      </c>
      <c r="F37">
        <v>2003</v>
      </c>
      <c r="G37">
        <v>1</v>
      </c>
      <c r="H37">
        <v>40</v>
      </c>
      <c r="I37">
        <v>2014</v>
      </c>
      <c r="J37" s="2" t="s">
        <v>16</v>
      </c>
    </row>
    <row r="38" spans="1:10" x14ac:dyDescent="0.2">
      <c r="A38">
        <v>37</v>
      </c>
      <c r="B38" s="2" t="s">
        <v>13</v>
      </c>
      <c r="C38" s="2" t="s">
        <v>14</v>
      </c>
      <c r="D38">
        <v>4230</v>
      </c>
      <c r="E38">
        <v>12</v>
      </c>
      <c r="F38">
        <v>2014</v>
      </c>
      <c r="G38">
        <v>0</v>
      </c>
      <c r="H38">
        <v>0</v>
      </c>
      <c r="I38">
        <v>0</v>
      </c>
      <c r="J38" s="2" t="s">
        <v>15</v>
      </c>
    </row>
    <row r="39" spans="1:10" x14ac:dyDescent="0.2">
      <c r="A39">
        <v>38</v>
      </c>
      <c r="B39" s="2" t="s">
        <v>17</v>
      </c>
      <c r="C39" s="2" t="s">
        <v>14</v>
      </c>
      <c r="D39">
        <v>1090</v>
      </c>
      <c r="E39">
        <v>4</v>
      </c>
      <c r="F39">
        <v>2007</v>
      </c>
      <c r="G39">
        <v>0</v>
      </c>
      <c r="H39">
        <v>0</v>
      </c>
      <c r="I39">
        <v>0</v>
      </c>
      <c r="J39" s="2" t="s">
        <v>15</v>
      </c>
    </row>
    <row r="40" spans="1:10" x14ac:dyDescent="0.2">
      <c r="A40">
        <v>39</v>
      </c>
      <c r="B40" s="2" t="s">
        <v>14</v>
      </c>
      <c r="C40" s="2" t="s">
        <v>14</v>
      </c>
      <c r="D40">
        <v>260</v>
      </c>
      <c r="E40">
        <v>10</v>
      </c>
      <c r="F40">
        <v>2006</v>
      </c>
      <c r="G40">
        <v>1</v>
      </c>
      <c r="H40">
        <v>31</v>
      </c>
      <c r="I40">
        <v>2013</v>
      </c>
      <c r="J40" s="2" t="s">
        <v>18</v>
      </c>
    </row>
    <row r="41" spans="1:10" x14ac:dyDescent="0.2">
      <c r="A41">
        <v>40</v>
      </c>
      <c r="B41" s="2" t="s">
        <v>14</v>
      </c>
      <c r="C41" s="2" t="s">
        <v>14</v>
      </c>
      <c r="D41">
        <v>180</v>
      </c>
      <c r="G41">
        <v>1</v>
      </c>
      <c r="H41">
        <v>45</v>
      </c>
      <c r="I41">
        <v>2009</v>
      </c>
      <c r="J41" s="2" t="s">
        <v>18</v>
      </c>
    </row>
    <row r="42" spans="1:10" x14ac:dyDescent="0.2">
      <c r="A42">
        <v>41</v>
      </c>
      <c r="B42" s="2" t="s">
        <v>17</v>
      </c>
      <c r="C42" s="2" t="s">
        <v>13</v>
      </c>
      <c r="D42">
        <v>1180</v>
      </c>
      <c r="G42">
        <v>1</v>
      </c>
      <c r="H42">
        <v>31</v>
      </c>
      <c r="I42">
        <v>2013</v>
      </c>
      <c r="J42" s="2" t="s">
        <v>16</v>
      </c>
    </row>
    <row r="43" spans="1:10" x14ac:dyDescent="0.2">
      <c r="A43">
        <v>42</v>
      </c>
      <c r="B43" s="2" t="s">
        <v>14</v>
      </c>
      <c r="C43" s="2" t="s">
        <v>13</v>
      </c>
      <c r="D43">
        <v>290</v>
      </c>
      <c r="G43">
        <v>1</v>
      </c>
      <c r="H43">
        <v>40</v>
      </c>
      <c r="I43">
        <v>2011</v>
      </c>
      <c r="J43" s="2" t="s">
        <v>16</v>
      </c>
    </row>
    <row r="44" spans="1:10" x14ac:dyDescent="0.2">
      <c r="A44">
        <v>43</v>
      </c>
      <c r="B44" s="2" t="s">
        <v>17</v>
      </c>
      <c r="C44" s="2" t="s">
        <v>14</v>
      </c>
      <c r="D44">
        <v>4880</v>
      </c>
      <c r="G44">
        <v>1</v>
      </c>
      <c r="H44">
        <v>37</v>
      </c>
      <c r="I44">
        <v>2009</v>
      </c>
      <c r="J44" s="2" t="s">
        <v>16</v>
      </c>
    </row>
    <row r="45" spans="1:10" x14ac:dyDescent="0.2">
      <c r="A45">
        <v>44</v>
      </c>
      <c r="B45" s="2" t="s">
        <v>14</v>
      </c>
      <c r="C45" s="2" t="s">
        <v>14</v>
      </c>
      <c r="D45">
        <v>540</v>
      </c>
      <c r="E45">
        <v>6</v>
      </c>
      <c r="F45">
        <v>2011</v>
      </c>
      <c r="G45">
        <v>0</v>
      </c>
      <c r="H45">
        <v>0</v>
      </c>
      <c r="I45">
        <v>0</v>
      </c>
      <c r="J45" s="2" t="s">
        <v>15</v>
      </c>
    </row>
    <row r="46" spans="1:10" x14ac:dyDescent="0.2">
      <c r="A46">
        <v>45</v>
      </c>
      <c r="B46" s="2" t="s">
        <v>17</v>
      </c>
      <c r="C46" s="2" t="s">
        <v>14</v>
      </c>
      <c r="D46">
        <v>9710</v>
      </c>
      <c r="E46">
        <v>2</v>
      </c>
      <c r="F46">
        <v>2014</v>
      </c>
      <c r="G46">
        <v>0</v>
      </c>
      <c r="H46">
        <v>0</v>
      </c>
      <c r="I46">
        <v>0</v>
      </c>
      <c r="J46" s="2" t="s">
        <v>15</v>
      </c>
    </row>
    <row r="47" spans="1:10" x14ac:dyDescent="0.2">
      <c r="A47">
        <v>46</v>
      </c>
      <c r="B47" s="2" t="s">
        <v>13</v>
      </c>
      <c r="C47" s="2" t="s">
        <v>14</v>
      </c>
      <c r="D47">
        <v>1200</v>
      </c>
      <c r="E47">
        <v>9</v>
      </c>
      <c r="F47">
        <v>2005</v>
      </c>
      <c r="G47">
        <v>1</v>
      </c>
      <c r="H47">
        <v>14</v>
      </c>
      <c r="I47">
        <v>2011</v>
      </c>
      <c r="J47" s="2" t="s">
        <v>16</v>
      </c>
    </row>
    <row r="48" spans="1:10" x14ac:dyDescent="0.2">
      <c r="A48">
        <v>47</v>
      </c>
      <c r="B48" s="2" t="s">
        <v>14</v>
      </c>
      <c r="C48" s="2" t="s">
        <v>13</v>
      </c>
      <c r="D48">
        <v>270</v>
      </c>
      <c r="E48">
        <v>4</v>
      </c>
      <c r="F48">
        <v>2013</v>
      </c>
      <c r="G48">
        <v>1</v>
      </c>
      <c r="H48">
        <v>14</v>
      </c>
      <c r="I48">
        <v>2013</v>
      </c>
      <c r="J48" s="2" t="s">
        <v>16</v>
      </c>
    </row>
    <row r="49" spans="1:10" x14ac:dyDescent="0.2">
      <c r="A49">
        <v>48</v>
      </c>
      <c r="B49" s="2" t="s">
        <v>14</v>
      </c>
      <c r="C49" s="2" t="s">
        <v>14</v>
      </c>
      <c r="D49">
        <v>1060</v>
      </c>
      <c r="E49">
        <v>5</v>
      </c>
      <c r="F49">
        <v>2012</v>
      </c>
      <c r="G49">
        <v>0</v>
      </c>
      <c r="H49">
        <v>0</v>
      </c>
      <c r="I49">
        <v>0</v>
      </c>
      <c r="J49" s="2" t="s">
        <v>15</v>
      </c>
    </row>
    <row r="50" spans="1:10" x14ac:dyDescent="0.2">
      <c r="A50">
        <v>49</v>
      </c>
      <c r="B50" s="2" t="s">
        <v>17</v>
      </c>
      <c r="C50" s="2" t="s">
        <v>13</v>
      </c>
      <c r="D50">
        <v>18010</v>
      </c>
      <c r="E50">
        <v>9</v>
      </c>
      <c r="F50">
        <v>2007</v>
      </c>
      <c r="G50">
        <v>0</v>
      </c>
      <c r="H50">
        <v>0</v>
      </c>
      <c r="I50">
        <v>0</v>
      </c>
      <c r="J50" s="2" t="s">
        <v>15</v>
      </c>
    </row>
    <row r="51" spans="1:10" x14ac:dyDescent="0.2">
      <c r="A51">
        <v>50</v>
      </c>
      <c r="B51" s="2" t="s">
        <v>17</v>
      </c>
      <c r="C51" s="2" t="s">
        <v>14</v>
      </c>
      <c r="D51">
        <v>6260</v>
      </c>
      <c r="E51">
        <v>11</v>
      </c>
      <c r="F51">
        <v>2009</v>
      </c>
      <c r="G51">
        <v>0</v>
      </c>
      <c r="H51">
        <v>0</v>
      </c>
      <c r="I51">
        <v>0</v>
      </c>
      <c r="J51" s="2" t="s">
        <v>15</v>
      </c>
    </row>
    <row r="52" spans="1:10" x14ac:dyDescent="0.2">
      <c r="A52">
        <v>51</v>
      </c>
      <c r="B52" s="2" t="s">
        <v>14</v>
      </c>
      <c r="C52" s="2" t="s">
        <v>13</v>
      </c>
      <c r="D52">
        <v>10570</v>
      </c>
      <c r="E52">
        <v>7</v>
      </c>
      <c r="F52">
        <v>2013</v>
      </c>
      <c r="G52">
        <v>1</v>
      </c>
      <c r="H52">
        <v>9</v>
      </c>
      <c r="I52">
        <v>2011</v>
      </c>
      <c r="J52" s="2" t="s">
        <v>16</v>
      </c>
    </row>
    <row r="53" spans="1:10" x14ac:dyDescent="0.2">
      <c r="A53">
        <v>52</v>
      </c>
      <c r="B53" s="2" t="s">
        <v>17</v>
      </c>
      <c r="C53" s="2" t="s">
        <v>13</v>
      </c>
      <c r="D53">
        <v>450</v>
      </c>
      <c r="E53">
        <v>4</v>
      </c>
      <c r="F53">
        <v>2014</v>
      </c>
      <c r="G53">
        <v>1</v>
      </c>
      <c r="H53">
        <v>39</v>
      </c>
      <c r="I53">
        <v>2010</v>
      </c>
      <c r="J53" s="2" t="s">
        <v>16</v>
      </c>
    </row>
    <row r="54" spans="1:10" x14ac:dyDescent="0.2">
      <c r="A54">
        <v>53</v>
      </c>
      <c r="B54" s="2" t="s">
        <v>14</v>
      </c>
      <c r="C54" s="2" t="s">
        <v>13</v>
      </c>
      <c r="D54">
        <v>30360</v>
      </c>
      <c r="E54">
        <v>9</v>
      </c>
      <c r="F54">
        <v>2013</v>
      </c>
      <c r="G54">
        <v>0</v>
      </c>
      <c r="H54">
        <v>0</v>
      </c>
      <c r="I54">
        <v>0</v>
      </c>
      <c r="J54" s="2" t="s">
        <v>15</v>
      </c>
    </row>
    <row r="55" spans="1:10" x14ac:dyDescent="0.2">
      <c r="A55">
        <v>54</v>
      </c>
      <c r="B55" s="2" t="s">
        <v>17</v>
      </c>
      <c r="C55" s="2" t="s">
        <v>13</v>
      </c>
      <c r="D55">
        <v>7170</v>
      </c>
      <c r="E55">
        <v>8</v>
      </c>
      <c r="F55">
        <v>2014</v>
      </c>
      <c r="G55">
        <v>1</v>
      </c>
      <c r="H55">
        <v>5</v>
      </c>
      <c r="I55">
        <v>2013</v>
      </c>
      <c r="J55" s="2" t="s">
        <v>18</v>
      </c>
    </row>
    <row r="56" spans="1:10" x14ac:dyDescent="0.2">
      <c r="A56">
        <v>55</v>
      </c>
      <c r="B56" s="2" t="s">
        <v>14</v>
      </c>
      <c r="C56" s="2" t="s">
        <v>14</v>
      </c>
      <c r="D56">
        <v>720</v>
      </c>
      <c r="E56">
        <v>11</v>
      </c>
      <c r="F56">
        <v>2004</v>
      </c>
      <c r="G56">
        <v>0</v>
      </c>
      <c r="H56">
        <v>0</v>
      </c>
      <c r="I56">
        <v>0</v>
      </c>
      <c r="J56" s="2" t="s">
        <v>15</v>
      </c>
    </row>
    <row r="57" spans="1:10" x14ac:dyDescent="0.2">
      <c r="A57">
        <v>56</v>
      </c>
      <c r="B57" s="2" t="s">
        <v>17</v>
      </c>
      <c r="C57" s="2" t="s">
        <v>13</v>
      </c>
      <c r="D57">
        <v>6620</v>
      </c>
      <c r="E57">
        <v>3</v>
      </c>
      <c r="F57">
        <v>2012</v>
      </c>
      <c r="G57">
        <v>1</v>
      </c>
      <c r="H57">
        <v>10</v>
      </c>
      <c r="I57">
        <v>2014</v>
      </c>
      <c r="J57" s="2" t="s">
        <v>19</v>
      </c>
    </row>
    <row r="58" spans="1:10" x14ac:dyDescent="0.2">
      <c r="A58">
        <v>57</v>
      </c>
      <c r="B58" s="2" t="s">
        <v>17</v>
      </c>
      <c r="C58" s="2" t="s">
        <v>13</v>
      </c>
      <c r="D58">
        <v>420</v>
      </c>
      <c r="E58">
        <v>6</v>
      </c>
      <c r="F58">
        <v>2014</v>
      </c>
      <c r="G58">
        <v>0</v>
      </c>
      <c r="H58">
        <v>0</v>
      </c>
      <c r="I58">
        <v>0</v>
      </c>
      <c r="J58" s="2" t="s">
        <v>15</v>
      </c>
    </row>
    <row r="59" spans="1:10" x14ac:dyDescent="0.2">
      <c r="A59">
        <v>58</v>
      </c>
      <c r="B59" s="2" t="s">
        <v>14</v>
      </c>
      <c r="C59" s="2" t="s">
        <v>13</v>
      </c>
      <c r="D59">
        <v>7340</v>
      </c>
      <c r="E59">
        <v>5</v>
      </c>
      <c r="F59">
        <v>2008</v>
      </c>
      <c r="G59">
        <v>1</v>
      </c>
      <c r="H59">
        <v>27</v>
      </c>
      <c r="I59">
        <v>2012</v>
      </c>
      <c r="J59" s="2" t="s">
        <v>16</v>
      </c>
    </row>
    <row r="60" spans="1:10" x14ac:dyDescent="0.2">
      <c r="A60">
        <v>59</v>
      </c>
      <c r="B60" s="2" t="s">
        <v>14</v>
      </c>
      <c r="C60" s="2" t="s">
        <v>13</v>
      </c>
      <c r="D60">
        <v>2840</v>
      </c>
      <c r="E60">
        <v>6</v>
      </c>
      <c r="F60">
        <v>2007</v>
      </c>
      <c r="G60">
        <v>1</v>
      </c>
      <c r="H60">
        <v>14</v>
      </c>
      <c r="I60">
        <v>2011</v>
      </c>
      <c r="J60" s="2" t="s">
        <v>16</v>
      </c>
    </row>
    <row r="61" spans="1:10" x14ac:dyDescent="0.2">
      <c r="A61">
        <v>60</v>
      </c>
      <c r="B61" s="2" t="s">
        <v>17</v>
      </c>
      <c r="C61" s="2" t="s">
        <v>13</v>
      </c>
      <c r="D61">
        <v>5540</v>
      </c>
      <c r="E61">
        <v>10</v>
      </c>
      <c r="F61">
        <v>2009</v>
      </c>
      <c r="G61">
        <v>0</v>
      </c>
      <c r="H61">
        <v>0</v>
      </c>
      <c r="I61">
        <v>0</v>
      </c>
      <c r="J61" s="2" t="s">
        <v>15</v>
      </c>
    </row>
    <row r="62" spans="1:10" x14ac:dyDescent="0.2">
      <c r="A62">
        <v>61</v>
      </c>
      <c r="B62" s="2" t="s">
        <v>14</v>
      </c>
      <c r="C62" s="2" t="s">
        <v>13</v>
      </c>
      <c r="D62">
        <v>350</v>
      </c>
      <c r="E62">
        <v>12</v>
      </c>
      <c r="F62">
        <v>2007</v>
      </c>
      <c r="G62">
        <v>1</v>
      </c>
      <c r="H62">
        <v>1</v>
      </c>
      <c r="I62">
        <v>2012</v>
      </c>
      <c r="J62" s="2" t="s">
        <v>16</v>
      </c>
    </row>
    <row r="63" spans="1:10" x14ac:dyDescent="0.2">
      <c r="A63">
        <v>62</v>
      </c>
      <c r="B63" s="2" t="s">
        <v>14</v>
      </c>
      <c r="C63" s="2" t="s">
        <v>14</v>
      </c>
      <c r="D63">
        <v>2050</v>
      </c>
      <c r="G63">
        <v>0</v>
      </c>
      <c r="H63">
        <v>0</v>
      </c>
      <c r="I63">
        <v>0</v>
      </c>
      <c r="J63" s="2" t="s">
        <v>15</v>
      </c>
    </row>
    <row r="64" spans="1:10" x14ac:dyDescent="0.2">
      <c r="A64">
        <v>63</v>
      </c>
      <c r="B64" s="2" t="s">
        <v>13</v>
      </c>
      <c r="C64" s="2" t="s">
        <v>13</v>
      </c>
      <c r="D64">
        <v>3700</v>
      </c>
      <c r="E64">
        <v>6</v>
      </c>
      <c r="F64">
        <v>2010</v>
      </c>
      <c r="G64">
        <v>1</v>
      </c>
      <c r="H64">
        <v>18</v>
      </c>
      <c r="I64">
        <v>2010</v>
      </c>
      <c r="J64" s="2" t="s">
        <v>18</v>
      </c>
    </row>
    <row r="65" spans="1:10" x14ac:dyDescent="0.2">
      <c r="A65">
        <v>64</v>
      </c>
      <c r="B65" s="2" t="s">
        <v>17</v>
      </c>
      <c r="C65" s="2" t="s">
        <v>13</v>
      </c>
      <c r="D65">
        <v>22560</v>
      </c>
      <c r="G65">
        <v>1</v>
      </c>
      <c r="H65">
        <v>14</v>
      </c>
      <c r="I65">
        <v>2013</v>
      </c>
      <c r="J65" s="2" t="s">
        <v>16</v>
      </c>
    </row>
    <row r="66" spans="1:10" x14ac:dyDescent="0.2">
      <c r="A66">
        <v>65</v>
      </c>
      <c r="B66" s="2" t="s">
        <v>14</v>
      </c>
      <c r="C66" s="2" t="s">
        <v>13</v>
      </c>
      <c r="D66">
        <v>13840</v>
      </c>
      <c r="E66">
        <v>5</v>
      </c>
      <c r="F66">
        <v>2010</v>
      </c>
      <c r="G66">
        <v>1</v>
      </c>
      <c r="H66">
        <v>1</v>
      </c>
      <c r="I66">
        <v>2012</v>
      </c>
      <c r="J66" s="2" t="s">
        <v>16</v>
      </c>
    </row>
    <row r="67" spans="1:10" x14ac:dyDescent="0.2">
      <c r="A67">
        <v>66</v>
      </c>
      <c r="B67" s="2" t="s">
        <v>17</v>
      </c>
      <c r="C67" s="2" t="s">
        <v>14</v>
      </c>
      <c r="D67">
        <v>7660</v>
      </c>
      <c r="G67">
        <v>1</v>
      </c>
      <c r="H67">
        <v>37</v>
      </c>
      <c r="I67">
        <v>2009</v>
      </c>
      <c r="J67" s="2" t="s">
        <v>16</v>
      </c>
    </row>
    <row r="68" spans="1:10" x14ac:dyDescent="0.2">
      <c r="A68">
        <v>67</v>
      </c>
      <c r="B68" s="2" t="s">
        <v>14</v>
      </c>
      <c r="C68" s="2" t="s">
        <v>13</v>
      </c>
      <c r="D68">
        <v>410</v>
      </c>
      <c r="E68">
        <v>2</v>
      </c>
      <c r="F68">
        <v>2006</v>
      </c>
      <c r="G68">
        <v>0</v>
      </c>
      <c r="H68">
        <v>0</v>
      </c>
      <c r="I68">
        <v>0</v>
      </c>
      <c r="J68" s="2" t="s">
        <v>15</v>
      </c>
    </row>
    <row r="69" spans="1:10" x14ac:dyDescent="0.2">
      <c r="A69">
        <v>68</v>
      </c>
      <c r="B69" s="2" t="s">
        <v>14</v>
      </c>
      <c r="C69" s="2" t="s">
        <v>13</v>
      </c>
      <c r="D69">
        <v>250</v>
      </c>
      <c r="G69">
        <v>1</v>
      </c>
      <c r="H69">
        <v>35</v>
      </c>
      <c r="I69">
        <v>2012</v>
      </c>
      <c r="J69" s="2" t="s">
        <v>19</v>
      </c>
    </row>
    <row r="70" spans="1:10" x14ac:dyDescent="0.2">
      <c r="A70">
        <v>69</v>
      </c>
      <c r="B70" s="2" t="s">
        <v>13</v>
      </c>
      <c r="C70" s="2" t="s">
        <v>13</v>
      </c>
      <c r="D70">
        <v>1130</v>
      </c>
      <c r="G70">
        <v>1</v>
      </c>
      <c r="H70">
        <v>40</v>
      </c>
      <c r="I70">
        <v>2011</v>
      </c>
      <c r="J70" s="2" t="s">
        <v>16</v>
      </c>
    </row>
    <row r="71" spans="1:10" x14ac:dyDescent="0.2">
      <c r="A71">
        <v>70</v>
      </c>
      <c r="B71" s="2" t="s">
        <v>13</v>
      </c>
      <c r="C71" s="2" t="s">
        <v>13</v>
      </c>
      <c r="D71">
        <v>4840</v>
      </c>
      <c r="G71">
        <v>0</v>
      </c>
      <c r="H71">
        <v>0</v>
      </c>
      <c r="I71">
        <v>0</v>
      </c>
      <c r="J71" s="2" t="s">
        <v>15</v>
      </c>
    </row>
    <row r="72" spans="1:10" x14ac:dyDescent="0.2">
      <c r="A72">
        <v>71</v>
      </c>
      <c r="B72" s="2" t="s">
        <v>14</v>
      </c>
      <c r="C72" s="2" t="s">
        <v>14</v>
      </c>
      <c r="D72">
        <v>17500</v>
      </c>
      <c r="E72">
        <v>8</v>
      </c>
      <c r="F72">
        <v>2008</v>
      </c>
      <c r="G72">
        <v>1</v>
      </c>
      <c r="H72">
        <v>37</v>
      </c>
      <c r="I72">
        <v>2009</v>
      </c>
      <c r="J72" s="2" t="s">
        <v>19</v>
      </c>
    </row>
    <row r="73" spans="1:10" x14ac:dyDescent="0.2">
      <c r="A73">
        <v>72</v>
      </c>
      <c r="B73" s="2" t="s">
        <v>14</v>
      </c>
      <c r="C73" s="2" t="s">
        <v>14</v>
      </c>
      <c r="D73">
        <v>2200</v>
      </c>
      <c r="E73">
        <v>12</v>
      </c>
      <c r="F73">
        <v>2009</v>
      </c>
      <c r="G73">
        <v>1</v>
      </c>
      <c r="H73">
        <v>13</v>
      </c>
      <c r="I73">
        <v>2010</v>
      </c>
      <c r="J73" s="2" t="s">
        <v>16</v>
      </c>
    </row>
    <row r="74" spans="1:10" x14ac:dyDescent="0.2">
      <c r="A74">
        <v>73</v>
      </c>
      <c r="B74" s="2" t="s">
        <v>14</v>
      </c>
      <c r="C74" s="2" t="s">
        <v>13</v>
      </c>
      <c r="D74">
        <v>1650</v>
      </c>
      <c r="E74">
        <v>9</v>
      </c>
      <c r="F74">
        <v>2008</v>
      </c>
      <c r="G74">
        <v>0</v>
      </c>
      <c r="H74">
        <v>0</v>
      </c>
      <c r="I74">
        <v>0</v>
      </c>
      <c r="J74" s="2" t="s">
        <v>15</v>
      </c>
    </row>
    <row r="75" spans="1:10" x14ac:dyDescent="0.2">
      <c r="A75">
        <v>74</v>
      </c>
      <c r="B75" s="2" t="s">
        <v>14</v>
      </c>
      <c r="C75" s="2" t="s">
        <v>14</v>
      </c>
      <c r="D75">
        <v>330</v>
      </c>
      <c r="G75">
        <v>0</v>
      </c>
      <c r="H75">
        <v>0</v>
      </c>
      <c r="I75">
        <v>0</v>
      </c>
      <c r="J75" s="2" t="s">
        <v>15</v>
      </c>
    </row>
    <row r="76" spans="1:10" x14ac:dyDescent="0.2">
      <c r="A76">
        <v>75</v>
      </c>
      <c r="B76" s="2" t="s">
        <v>17</v>
      </c>
      <c r="C76" s="2" t="s">
        <v>13</v>
      </c>
      <c r="D76">
        <v>22440</v>
      </c>
      <c r="E76">
        <v>12</v>
      </c>
      <c r="F76">
        <v>2013</v>
      </c>
      <c r="G76">
        <v>0</v>
      </c>
      <c r="H76">
        <v>0</v>
      </c>
      <c r="I76">
        <v>0</v>
      </c>
      <c r="J76" s="2" t="s">
        <v>15</v>
      </c>
    </row>
    <row r="77" spans="1:10" x14ac:dyDescent="0.2">
      <c r="A77">
        <v>76</v>
      </c>
      <c r="B77" s="2" t="s">
        <v>17</v>
      </c>
      <c r="C77" s="2" t="s">
        <v>13</v>
      </c>
      <c r="D77">
        <v>19960</v>
      </c>
      <c r="E77">
        <v>3</v>
      </c>
      <c r="F77">
        <v>2006</v>
      </c>
      <c r="G77">
        <v>0</v>
      </c>
      <c r="H77">
        <v>0</v>
      </c>
      <c r="I77">
        <v>0</v>
      </c>
      <c r="J77" s="2" t="s">
        <v>15</v>
      </c>
    </row>
    <row r="78" spans="1:10" x14ac:dyDescent="0.2">
      <c r="A78">
        <v>77</v>
      </c>
      <c r="B78" s="2" t="s">
        <v>17</v>
      </c>
      <c r="C78" s="2" t="s">
        <v>13</v>
      </c>
      <c r="D78">
        <v>1090</v>
      </c>
      <c r="E78">
        <v>8</v>
      </c>
      <c r="F78">
        <v>2009</v>
      </c>
      <c r="G78">
        <v>1</v>
      </c>
      <c r="H78">
        <v>10</v>
      </c>
      <c r="I78">
        <v>2014</v>
      </c>
      <c r="J78" s="2" t="s">
        <v>16</v>
      </c>
    </row>
    <row r="79" spans="1:10" x14ac:dyDescent="0.2">
      <c r="A79">
        <v>78</v>
      </c>
      <c r="B79" s="2" t="s">
        <v>14</v>
      </c>
      <c r="C79" s="2" t="s">
        <v>14</v>
      </c>
      <c r="D79">
        <v>3510</v>
      </c>
      <c r="E79">
        <v>11</v>
      </c>
      <c r="F79">
        <v>2006</v>
      </c>
      <c r="G79">
        <v>1</v>
      </c>
      <c r="H79">
        <v>5</v>
      </c>
      <c r="I79">
        <v>2013</v>
      </c>
      <c r="J79" s="2" t="s">
        <v>18</v>
      </c>
    </row>
    <row r="80" spans="1:10" x14ac:dyDescent="0.2">
      <c r="A80">
        <v>79</v>
      </c>
      <c r="B80" s="2" t="s">
        <v>14</v>
      </c>
      <c r="C80" s="2" t="s">
        <v>14</v>
      </c>
      <c r="D80">
        <v>3320</v>
      </c>
      <c r="G80">
        <v>0</v>
      </c>
      <c r="H80">
        <v>0</v>
      </c>
      <c r="I80">
        <v>0</v>
      </c>
      <c r="J80" s="2" t="s">
        <v>15</v>
      </c>
    </row>
    <row r="81" spans="1:10" x14ac:dyDescent="0.2">
      <c r="A81">
        <v>80</v>
      </c>
      <c r="B81" s="2" t="s">
        <v>17</v>
      </c>
      <c r="C81" s="2" t="s">
        <v>14</v>
      </c>
      <c r="D81">
        <v>7910</v>
      </c>
      <c r="G81">
        <v>0</v>
      </c>
      <c r="H81">
        <v>0</v>
      </c>
      <c r="I81">
        <v>0</v>
      </c>
      <c r="J81" s="2" t="s">
        <v>15</v>
      </c>
    </row>
    <row r="82" spans="1:10" x14ac:dyDescent="0.2">
      <c r="A82">
        <v>81</v>
      </c>
      <c r="B82" s="2" t="s">
        <v>14</v>
      </c>
      <c r="C82" s="2" t="s">
        <v>14</v>
      </c>
      <c r="D82">
        <v>2370</v>
      </c>
      <c r="E82">
        <v>3</v>
      </c>
      <c r="F82">
        <v>2011</v>
      </c>
      <c r="G82">
        <v>1</v>
      </c>
      <c r="H82">
        <v>40</v>
      </c>
      <c r="I82">
        <v>2014</v>
      </c>
      <c r="J82" s="2" t="s">
        <v>16</v>
      </c>
    </row>
    <row r="83" spans="1:10" x14ac:dyDescent="0.2">
      <c r="A83">
        <v>82</v>
      </c>
      <c r="B83" s="2" t="s">
        <v>14</v>
      </c>
      <c r="C83" s="2" t="s">
        <v>14</v>
      </c>
      <c r="D83">
        <v>22390</v>
      </c>
      <c r="E83">
        <v>4</v>
      </c>
      <c r="F83">
        <v>2008</v>
      </c>
      <c r="G83">
        <v>1</v>
      </c>
      <c r="H83">
        <v>37</v>
      </c>
      <c r="I83">
        <v>2009</v>
      </c>
      <c r="J83" s="2" t="s">
        <v>16</v>
      </c>
    </row>
    <row r="84" spans="1:10" x14ac:dyDescent="0.2">
      <c r="A84">
        <v>83</v>
      </c>
      <c r="B84" s="2" t="s">
        <v>14</v>
      </c>
      <c r="C84" s="2" t="s">
        <v>14</v>
      </c>
      <c r="D84">
        <v>2710</v>
      </c>
      <c r="G84">
        <v>0</v>
      </c>
      <c r="H84">
        <v>0</v>
      </c>
      <c r="I84">
        <v>0</v>
      </c>
      <c r="J84" s="2" t="s">
        <v>15</v>
      </c>
    </row>
    <row r="85" spans="1:10" x14ac:dyDescent="0.2">
      <c r="A85">
        <v>84</v>
      </c>
      <c r="B85" s="2" t="s">
        <v>14</v>
      </c>
      <c r="C85" s="2" t="s">
        <v>13</v>
      </c>
      <c r="D85">
        <v>11810</v>
      </c>
      <c r="E85">
        <v>8</v>
      </c>
      <c r="F85">
        <v>2014</v>
      </c>
      <c r="G85">
        <v>0</v>
      </c>
      <c r="H85">
        <v>0</v>
      </c>
      <c r="I85">
        <v>0</v>
      </c>
      <c r="J85" s="2" t="s">
        <v>15</v>
      </c>
    </row>
    <row r="86" spans="1:10" x14ac:dyDescent="0.2">
      <c r="A86">
        <v>85</v>
      </c>
      <c r="B86" s="2" t="s">
        <v>20</v>
      </c>
      <c r="C86" s="2" t="s">
        <v>14</v>
      </c>
      <c r="D86">
        <v>1870</v>
      </c>
      <c r="E86">
        <v>10</v>
      </c>
      <c r="F86">
        <v>2011</v>
      </c>
      <c r="G86">
        <v>0</v>
      </c>
      <c r="H86">
        <v>0</v>
      </c>
      <c r="I86">
        <v>0</v>
      </c>
      <c r="J86" s="2" t="s">
        <v>15</v>
      </c>
    </row>
    <row r="87" spans="1:10" x14ac:dyDescent="0.2">
      <c r="A87">
        <v>86</v>
      </c>
      <c r="B87" s="2" t="s">
        <v>14</v>
      </c>
      <c r="C87" s="2" t="s">
        <v>14</v>
      </c>
      <c r="D87">
        <v>480</v>
      </c>
      <c r="E87">
        <v>2</v>
      </c>
      <c r="F87">
        <v>2005</v>
      </c>
      <c r="G87">
        <v>1</v>
      </c>
      <c r="H87">
        <v>31</v>
      </c>
      <c r="I87">
        <v>2013</v>
      </c>
      <c r="J87" s="2" t="s">
        <v>16</v>
      </c>
    </row>
    <row r="88" spans="1:10" x14ac:dyDescent="0.2">
      <c r="A88">
        <v>87</v>
      </c>
      <c r="B88" s="2" t="s">
        <v>14</v>
      </c>
      <c r="C88" s="2" t="s">
        <v>14</v>
      </c>
      <c r="D88">
        <v>560</v>
      </c>
      <c r="E88">
        <v>12</v>
      </c>
      <c r="F88">
        <v>2010</v>
      </c>
      <c r="G88">
        <v>0</v>
      </c>
      <c r="H88">
        <v>0</v>
      </c>
      <c r="I88">
        <v>0</v>
      </c>
      <c r="J88" s="2" t="s">
        <v>15</v>
      </c>
    </row>
    <row r="89" spans="1:10" x14ac:dyDescent="0.2">
      <c r="A89">
        <v>88</v>
      </c>
      <c r="B89" s="2" t="s">
        <v>14</v>
      </c>
      <c r="C89" s="2" t="s">
        <v>14</v>
      </c>
      <c r="D89">
        <v>10690</v>
      </c>
      <c r="E89">
        <v>10</v>
      </c>
      <c r="F89">
        <v>2005</v>
      </c>
      <c r="G89">
        <v>0</v>
      </c>
      <c r="H89">
        <v>0</v>
      </c>
      <c r="I89">
        <v>0</v>
      </c>
      <c r="J89" s="2" t="s">
        <v>15</v>
      </c>
    </row>
    <row r="90" spans="1:10" x14ac:dyDescent="0.2">
      <c r="A90">
        <v>89</v>
      </c>
      <c r="B90" s="2" t="s">
        <v>14</v>
      </c>
      <c r="C90" s="2" t="s">
        <v>14</v>
      </c>
      <c r="D90">
        <v>2380</v>
      </c>
      <c r="E90">
        <v>7</v>
      </c>
      <c r="F90">
        <v>2004</v>
      </c>
      <c r="G90">
        <v>1</v>
      </c>
      <c r="H90">
        <v>40</v>
      </c>
      <c r="I90">
        <v>2014</v>
      </c>
      <c r="J90" s="2" t="s">
        <v>16</v>
      </c>
    </row>
    <row r="91" spans="1:10" x14ac:dyDescent="0.2">
      <c r="A91">
        <v>90</v>
      </c>
      <c r="B91" s="2" t="s">
        <v>14</v>
      </c>
      <c r="C91" s="2" t="s">
        <v>14</v>
      </c>
      <c r="D91">
        <v>330</v>
      </c>
      <c r="E91">
        <v>11</v>
      </c>
      <c r="F91">
        <v>2007</v>
      </c>
      <c r="G91">
        <v>0</v>
      </c>
      <c r="H91">
        <v>0</v>
      </c>
      <c r="I91">
        <v>0</v>
      </c>
      <c r="J91" s="2" t="s">
        <v>15</v>
      </c>
    </row>
    <row r="92" spans="1:10" x14ac:dyDescent="0.2">
      <c r="A92">
        <v>91</v>
      </c>
      <c r="B92" s="2" t="s">
        <v>13</v>
      </c>
      <c r="C92" s="2" t="s">
        <v>14</v>
      </c>
      <c r="D92">
        <v>2410</v>
      </c>
      <c r="G92">
        <v>1</v>
      </c>
      <c r="H92">
        <v>35</v>
      </c>
      <c r="I92">
        <v>2011</v>
      </c>
      <c r="J92" s="2" t="s">
        <v>16</v>
      </c>
    </row>
    <row r="93" spans="1:10" x14ac:dyDescent="0.2">
      <c r="A93">
        <v>92</v>
      </c>
      <c r="B93" s="2" t="s">
        <v>13</v>
      </c>
      <c r="C93" s="2" t="s">
        <v>14</v>
      </c>
      <c r="D93">
        <v>240</v>
      </c>
      <c r="G93">
        <v>1</v>
      </c>
      <c r="H93">
        <v>45</v>
      </c>
      <c r="I93">
        <v>2009</v>
      </c>
      <c r="J93" s="2" t="s">
        <v>18</v>
      </c>
    </row>
    <row r="94" spans="1:10" x14ac:dyDescent="0.2">
      <c r="A94">
        <v>93</v>
      </c>
      <c r="B94" s="2" t="s">
        <v>14</v>
      </c>
      <c r="C94" s="2" t="s">
        <v>14</v>
      </c>
      <c r="D94">
        <v>16690</v>
      </c>
      <c r="G94">
        <v>1</v>
      </c>
      <c r="H94">
        <v>14</v>
      </c>
      <c r="I94">
        <v>2011</v>
      </c>
      <c r="J94" s="2" t="s">
        <v>16</v>
      </c>
    </row>
    <row r="95" spans="1:10" x14ac:dyDescent="0.2">
      <c r="A95">
        <v>94</v>
      </c>
      <c r="B95" s="2" t="s">
        <v>17</v>
      </c>
      <c r="C95" s="2" t="s">
        <v>13</v>
      </c>
      <c r="D95">
        <v>14620</v>
      </c>
      <c r="G95">
        <v>0</v>
      </c>
      <c r="H95">
        <v>0</v>
      </c>
      <c r="I95">
        <v>0</v>
      </c>
      <c r="J95" s="2" t="s">
        <v>15</v>
      </c>
    </row>
    <row r="96" spans="1:10" x14ac:dyDescent="0.2">
      <c r="A96">
        <v>95</v>
      </c>
      <c r="B96" s="2" t="s">
        <v>14</v>
      </c>
      <c r="C96" s="2" t="s">
        <v>14</v>
      </c>
      <c r="D96">
        <v>1890</v>
      </c>
      <c r="E96">
        <v>10</v>
      </c>
      <c r="F96">
        <v>2014</v>
      </c>
      <c r="G96">
        <v>0</v>
      </c>
      <c r="H96">
        <v>0</v>
      </c>
      <c r="I96">
        <v>0</v>
      </c>
      <c r="J96" s="2" t="s">
        <v>15</v>
      </c>
    </row>
    <row r="97" spans="1:10" x14ac:dyDescent="0.2">
      <c r="A97">
        <v>96</v>
      </c>
      <c r="B97" s="2" t="s">
        <v>14</v>
      </c>
      <c r="C97" s="2" t="s">
        <v>14</v>
      </c>
      <c r="D97">
        <v>8780</v>
      </c>
      <c r="E97">
        <v>2</v>
      </c>
      <c r="F97">
        <v>2005</v>
      </c>
      <c r="G97">
        <v>1</v>
      </c>
      <c r="H97">
        <v>37</v>
      </c>
      <c r="I97">
        <v>2009</v>
      </c>
      <c r="J97" s="2" t="s">
        <v>16</v>
      </c>
    </row>
    <row r="98" spans="1:10" x14ac:dyDescent="0.2">
      <c r="A98">
        <v>97</v>
      </c>
      <c r="B98" s="2" t="s">
        <v>17</v>
      </c>
      <c r="C98" s="2" t="s">
        <v>13</v>
      </c>
      <c r="D98">
        <v>8980</v>
      </c>
      <c r="G98">
        <v>0</v>
      </c>
      <c r="H98">
        <v>0</v>
      </c>
      <c r="I98">
        <v>0</v>
      </c>
      <c r="J98" s="2" t="s">
        <v>15</v>
      </c>
    </row>
    <row r="99" spans="1:10" x14ac:dyDescent="0.2">
      <c r="A99">
        <v>98</v>
      </c>
      <c r="B99" s="2" t="s">
        <v>17</v>
      </c>
      <c r="C99" s="2" t="s">
        <v>13</v>
      </c>
      <c r="D99">
        <v>15140</v>
      </c>
      <c r="E99">
        <v>12</v>
      </c>
      <c r="F99">
        <v>2006</v>
      </c>
      <c r="G99">
        <v>1</v>
      </c>
      <c r="H99">
        <v>1</v>
      </c>
      <c r="I99">
        <v>2012</v>
      </c>
      <c r="J99" s="2" t="s">
        <v>16</v>
      </c>
    </row>
    <row r="100" spans="1:10" x14ac:dyDescent="0.2">
      <c r="A100">
        <v>99</v>
      </c>
      <c r="B100" s="2" t="s">
        <v>13</v>
      </c>
      <c r="C100" s="2" t="s">
        <v>13</v>
      </c>
      <c r="D100">
        <v>2030</v>
      </c>
      <c r="E100">
        <v>11</v>
      </c>
      <c r="F100">
        <v>2003</v>
      </c>
      <c r="G100">
        <v>1</v>
      </c>
      <c r="H100">
        <v>22</v>
      </c>
      <c r="I100">
        <v>2012</v>
      </c>
      <c r="J100" s="2" t="s">
        <v>19</v>
      </c>
    </row>
    <row r="101" spans="1:10" x14ac:dyDescent="0.2">
      <c r="A101">
        <v>100</v>
      </c>
      <c r="B101" s="2" t="s">
        <v>17</v>
      </c>
      <c r="C101" s="2" t="s">
        <v>14</v>
      </c>
      <c r="D101">
        <v>17930</v>
      </c>
      <c r="G101">
        <v>0</v>
      </c>
      <c r="H101">
        <v>0</v>
      </c>
      <c r="I101">
        <v>0</v>
      </c>
      <c r="J101" s="2" t="s">
        <v>15</v>
      </c>
    </row>
    <row r="102" spans="1:10" x14ac:dyDescent="0.2">
      <c r="A102">
        <v>101</v>
      </c>
      <c r="B102" s="2" t="s">
        <v>17</v>
      </c>
      <c r="C102" s="2" t="s">
        <v>13</v>
      </c>
      <c r="D102">
        <v>2440</v>
      </c>
      <c r="G102">
        <v>1</v>
      </c>
      <c r="H102">
        <v>22</v>
      </c>
      <c r="I102">
        <v>2012</v>
      </c>
      <c r="J102" s="2" t="s">
        <v>19</v>
      </c>
    </row>
    <row r="103" spans="1:10" x14ac:dyDescent="0.2">
      <c r="A103">
        <v>102</v>
      </c>
      <c r="B103" s="2" t="s">
        <v>14</v>
      </c>
      <c r="C103" s="2" t="s">
        <v>14</v>
      </c>
      <c r="D103">
        <v>150</v>
      </c>
      <c r="E103">
        <v>12</v>
      </c>
      <c r="F103">
        <v>2007</v>
      </c>
      <c r="G103">
        <v>1</v>
      </c>
      <c r="H103">
        <v>10</v>
      </c>
      <c r="I103">
        <v>2014</v>
      </c>
      <c r="J103" s="2" t="s">
        <v>19</v>
      </c>
    </row>
    <row r="104" spans="1:10" x14ac:dyDescent="0.2">
      <c r="A104">
        <v>103</v>
      </c>
      <c r="B104" s="2" t="s">
        <v>17</v>
      </c>
      <c r="C104" s="2" t="s">
        <v>13</v>
      </c>
      <c r="D104">
        <v>5210</v>
      </c>
      <c r="E104">
        <v>5</v>
      </c>
      <c r="F104">
        <v>2015</v>
      </c>
      <c r="G104">
        <v>0</v>
      </c>
      <c r="H104">
        <v>0</v>
      </c>
      <c r="I104">
        <v>0</v>
      </c>
      <c r="J104" s="2" t="s">
        <v>15</v>
      </c>
    </row>
    <row r="105" spans="1:10" x14ac:dyDescent="0.2">
      <c r="A105">
        <v>104</v>
      </c>
      <c r="B105" s="2" t="s">
        <v>14</v>
      </c>
      <c r="C105" s="2" t="s">
        <v>14</v>
      </c>
      <c r="D105">
        <v>390</v>
      </c>
      <c r="E105">
        <v>6</v>
      </c>
      <c r="F105">
        <v>2009</v>
      </c>
      <c r="G105">
        <v>0</v>
      </c>
      <c r="H105">
        <v>0</v>
      </c>
      <c r="I105">
        <v>0</v>
      </c>
      <c r="J105" s="2" t="s">
        <v>15</v>
      </c>
    </row>
    <row r="106" spans="1:10" x14ac:dyDescent="0.2">
      <c r="A106">
        <v>105</v>
      </c>
      <c r="B106" s="2" t="s">
        <v>14</v>
      </c>
      <c r="C106" s="2" t="s">
        <v>13</v>
      </c>
      <c r="D106">
        <v>6190</v>
      </c>
      <c r="G106">
        <v>1</v>
      </c>
      <c r="H106">
        <v>23</v>
      </c>
      <c r="I106">
        <v>2013</v>
      </c>
      <c r="J106" s="2" t="s">
        <v>19</v>
      </c>
    </row>
    <row r="107" spans="1:10" x14ac:dyDescent="0.2">
      <c r="A107">
        <v>106</v>
      </c>
      <c r="B107" s="2" t="s">
        <v>14</v>
      </c>
      <c r="C107" s="2" t="s">
        <v>14</v>
      </c>
      <c r="D107">
        <v>1390</v>
      </c>
      <c r="E107">
        <v>8</v>
      </c>
      <c r="F107">
        <v>2013</v>
      </c>
      <c r="G107">
        <v>0</v>
      </c>
      <c r="H107">
        <v>0</v>
      </c>
      <c r="I107">
        <v>0</v>
      </c>
      <c r="J107" s="2" t="s">
        <v>15</v>
      </c>
    </row>
    <row r="108" spans="1:10" x14ac:dyDescent="0.2">
      <c r="A108">
        <v>107</v>
      </c>
      <c r="B108" s="2" t="s">
        <v>14</v>
      </c>
      <c r="C108" s="2" t="s">
        <v>14</v>
      </c>
      <c r="D108">
        <v>1930</v>
      </c>
      <c r="E108">
        <v>9</v>
      </c>
      <c r="F108">
        <v>2009</v>
      </c>
      <c r="G108">
        <v>0</v>
      </c>
      <c r="H108">
        <v>0</v>
      </c>
      <c r="I108">
        <v>0</v>
      </c>
      <c r="J108" s="2" t="s">
        <v>15</v>
      </c>
    </row>
    <row r="109" spans="1:10" x14ac:dyDescent="0.2">
      <c r="A109">
        <v>108</v>
      </c>
      <c r="B109" s="2" t="s">
        <v>17</v>
      </c>
      <c r="C109" s="2" t="s">
        <v>13</v>
      </c>
      <c r="D109">
        <v>2190</v>
      </c>
      <c r="E109">
        <v>9</v>
      </c>
      <c r="F109">
        <v>2003</v>
      </c>
      <c r="G109">
        <v>0</v>
      </c>
      <c r="H109">
        <v>0</v>
      </c>
      <c r="I109">
        <v>0</v>
      </c>
      <c r="J109" s="2" t="s">
        <v>15</v>
      </c>
    </row>
    <row r="110" spans="1:10" x14ac:dyDescent="0.2">
      <c r="A110">
        <v>109</v>
      </c>
      <c r="B110" s="2" t="s">
        <v>14</v>
      </c>
      <c r="C110" s="2" t="s">
        <v>13</v>
      </c>
      <c r="D110">
        <v>3300</v>
      </c>
      <c r="E110">
        <v>11</v>
      </c>
      <c r="F110">
        <v>2010</v>
      </c>
      <c r="G110">
        <v>0</v>
      </c>
      <c r="H110">
        <v>0</v>
      </c>
      <c r="I110">
        <v>0</v>
      </c>
      <c r="J110" s="2" t="s">
        <v>15</v>
      </c>
    </row>
    <row r="111" spans="1:10" x14ac:dyDescent="0.2">
      <c r="A111">
        <v>110</v>
      </c>
      <c r="B111" s="2" t="s">
        <v>14</v>
      </c>
      <c r="C111" s="2" t="s">
        <v>13</v>
      </c>
      <c r="D111">
        <v>46590</v>
      </c>
      <c r="E111">
        <v>4</v>
      </c>
      <c r="F111">
        <v>2013</v>
      </c>
      <c r="G111">
        <v>0</v>
      </c>
      <c r="H111">
        <v>0</v>
      </c>
      <c r="I111">
        <v>0</v>
      </c>
      <c r="J111" s="2" t="s">
        <v>15</v>
      </c>
    </row>
    <row r="112" spans="1:10" x14ac:dyDescent="0.2">
      <c r="A112">
        <v>111</v>
      </c>
      <c r="B112" s="2" t="s">
        <v>17</v>
      </c>
      <c r="C112" s="2" t="s">
        <v>13</v>
      </c>
      <c r="D112">
        <v>7890</v>
      </c>
      <c r="G112">
        <v>1</v>
      </c>
      <c r="H112">
        <v>37</v>
      </c>
      <c r="I112">
        <v>2009</v>
      </c>
      <c r="J112" s="2" t="s">
        <v>16</v>
      </c>
    </row>
    <row r="113" spans="1:10" x14ac:dyDescent="0.2">
      <c r="A113">
        <v>112</v>
      </c>
      <c r="B113" s="2" t="s">
        <v>14</v>
      </c>
      <c r="C113" s="2" t="s">
        <v>14</v>
      </c>
      <c r="D113">
        <v>1630</v>
      </c>
      <c r="E113">
        <v>9</v>
      </c>
      <c r="F113">
        <v>2009</v>
      </c>
      <c r="G113">
        <v>0</v>
      </c>
      <c r="H113">
        <v>0</v>
      </c>
      <c r="I113">
        <v>0</v>
      </c>
      <c r="J113" s="2" t="s">
        <v>15</v>
      </c>
    </row>
    <row r="114" spans="1:10" x14ac:dyDescent="0.2">
      <c r="A114">
        <v>113</v>
      </c>
      <c r="B114" s="2" t="s">
        <v>17</v>
      </c>
      <c r="C114" s="2" t="s">
        <v>13</v>
      </c>
      <c r="D114">
        <v>20930</v>
      </c>
      <c r="E114">
        <v>11</v>
      </c>
      <c r="F114">
        <v>1999</v>
      </c>
      <c r="G114">
        <v>0</v>
      </c>
      <c r="H114">
        <v>0</v>
      </c>
      <c r="I114">
        <v>0</v>
      </c>
      <c r="J114" s="2" t="s">
        <v>15</v>
      </c>
    </row>
    <row r="115" spans="1:10" x14ac:dyDescent="0.2">
      <c r="A115">
        <v>114</v>
      </c>
      <c r="B115" s="2" t="s">
        <v>13</v>
      </c>
      <c r="C115" s="2" t="s">
        <v>14</v>
      </c>
      <c r="D115">
        <v>4510</v>
      </c>
      <c r="G115">
        <v>1</v>
      </c>
      <c r="H115">
        <v>48</v>
      </c>
      <c r="I115">
        <v>2011</v>
      </c>
      <c r="J115" s="2" t="s">
        <v>19</v>
      </c>
    </row>
    <row r="116" spans="1:10" x14ac:dyDescent="0.2">
      <c r="A116">
        <v>115</v>
      </c>
      <c r="B116" s="2" t="s">
        <v>17</v>
      </c>
      <c r="C116" s="2" t="s">
        <v>13</v>
      </c>
      <c r="D116">
        <v>5740</v>
      </c>
      <c r="E116">
        <v>4</v>
      </c>
      <c r="F116">
        <v>2007</v>
      </c>
      <c r="G116">
        <v>1</v>
      </c>
      <c r="H116">
        <v>40</v>
      </c>
      <c r="I116">
        <v>2014</v>
      </c>
      <c r="J116" s="2" t="s">
        <v>16</v>
      </c>
    </row>
    <row r="117" spans="1:10" x14ac:dyDescent="0.2">
      <c r="A117">
        <v>116</v>
      </c>
      <c r="B117" s="2" t="s">
        <v>14</v>
      </c>
      <c r="C117" s="2" t="s">
        <v>14</v>
      </c>
      <c r="D117">
        <v>680</v>
      </c>
      <c r="E117">
        <v>4</v>
      </c>
      <c r="F117">
        <v>2013</v>
      </c>
      <c r="G117">
        <v>0</v>
      </c>
      <c r="H117">
        <v>0</v>
      </c>
      <c r="I117">
        <v>0</v>
      </c>
      <c r="J117" s="2" t="s">
        <v>15</v>
      </c>
    </row>
    <row r="118" spans="1:10" x14ac:dyDescent="0.2">
      <c r="A118">
        <v>117</v>
      </c>
      <c r="B118" s="2" t="s">
        <v>14</v>
      </c>
      <c r="C118" s="2" t="s">
        <v>14</v>
      </c>
      <c r="D118">
        <v>3450</v>
      </c>
      <c r="E118">
        <v>9</v>
      </c>
      <c r="F118">
        <v>2011</v>
      </c>
      <c r="G118">
        <v>0</v>
      </c>
      <c r="H118">
        <v>0</v>
      </c>
      <c r="I118">
        <v>0</v>
      </c>
      <c r="J118" s="2" t="s">
        <v>15</v>
      </c>
    </row>
    <row r="119" spans="1:10" x14ac:dyDescent="0.2">
      <c r="A119">
        <v>118</v>
      </c>
      <c r="B119" s="2" t="s">
        <v>17</v>
      </c>
      <c r="C119" s="2" t="s">
        <v>13</v>
      </c>
      <c r="D119">
        <v>3580</v>
      </c>
      <c r="E119">
        <v>9</v>
      </c>
      <c r="F119">
        <v>2012</v>
      </c>
      <c r="G119">
        <v>0</v>
      </c>
      <c r="H119">
        <v>0</v>
      </c>
      <c r="I119">
        <v>0</v>
      </c>
      <c r="J119" s="2" t="s">
        <v>15</v>
      </c>
    </row>
    <row r="120" spans="1:10" x14ac:dyDescent="0.2">
      <c r="A120">
        <v>119</v>
      </c>
      <c r="B120" s="2" t="s">
        <v>14</v>
      </c>
      <c r="C120" s="2" t="s">
        <v>13</v>
      </c>
      <c r="D120">
        <v>2100</v>
      </c>
      <c r="E120">
        <v>2</v>
      </c>
      <c r="F120">
        <v>2010</v>
      </c>
      <c r="G120">
        <v>0</v>
      </c>
      <c r="H120">
        <v>0</v>
      </c>
      <c r="I120">
        <v>0</v>
      </c>
      <c r="J120" s="2" t="s">
        <v>15</v>
      </c>
    </row>
    <row r="121" spans="1:10" x14ac:dyDescent="0.2">
      <c r="A121">
        <v>120</v>
      </c>
      <c r="B121" s="2" t="s">
        <v>17</v>
      </c>
      <c r="C121" s="2" t="s">
        <v>14</v>
      </c>
      <c r="D121">
        <v>2290</v>
      </c>
      <c r="E121">
        <v>12</v>
      </c>
      <c r="F121">
        <v>2014</v>
      </c>
      <c r="G121">
        <v>1</v>
      </c>
      <c r="H121">
        <v>37</v>
      </c>
      <c r="I121">
        <v>2009</v>
      </c>
      <c r="J121" s="2" t="s">
        <v>16</v>
      </c>
    </row>
    <row r="122" spans="1:10" x14ac:dyDescent="0.2">
      <c r="A122">
        <v>121</v>
      </c>
      <c r="B122" s="2" t="s">
        <v>14</v>
      </c>
      <c r="C122" s="2" t="s">
        <v>14</v>
      </c>
      <c r="D122">
        <v>3570</v>
      </c>
      <c r="E122">
        <v>11</v>
      </c>
      <c r="F122">
        <v>2009</v>
      </c>
      <c r="G122">
        <v>1</v>
      </c>
      <c r="H122">
        <v>36</v>
      </c>
      <c r="I122">
        <v>2013</v>
      </c>
      <c r="J122" s="2" t="s">
        <v>19</v>
      </c>
    </row>
    <row r="123" spans="1:10" x14ac:dyDescent="0.2">
      <c r="A123">
        <v>122</v>
      </c>
      <c r="B123" s="2" t="s">
        <v>14</v>
      </c>
      <c r="C123" s="2" t="s">
        <v>13</v>
      </c>
      <c r="D123">
        <v>58260</v>
      </c>
      <c r="E123">
        <v>4</v>
      </c>
      <c r="F123">
        <v>2013</v>
      </c>
      <c r="G123">
        <v>0</v>
      </c>
      <c r="H123">
        <v>0</v>
      </c>
      <c r="I123">
        <v>0</v>
      </c>
      <c r="J123" s="2" t="s">
        <v>15</v>
      </c>
    </row>
    <row r="124" spans="1:10" x14ac:dyDescent="0.2">
      <c r="A124">
        <v>123</v>
      </c>
      <c r="B124" s="2" t="s">
        <v>14</v>
      </c>
      <c r="C124" s="2" t="s">
        <v>14</v>
      </c>
      <c r="D124">
        <v>16760</v>
      </c>
      <c r="E124">
        <v>9</v>
      </c>
      <c r="F124">
        <v>2011</v>
      </c>
      <c r="G124">
        <v>0</v>
      </c>
      <c r="H124">
        <v>0</v>
      </c>
      <c r="I124">
        <v>0</v>
      </c>
      <c r="J124" s="2" t="s">
        <v>15</v>
      </c>
    </row>
    <row r="125" spans="1:10" x14ac:dyDescent="0.2">
      <c r="A125">
        <v>124</v>
      </c>
      <c r="B125" s="2" t="s">
        <v>14</v>
      </c>
      <c r="C125" s="2" t="s">
        <v>14</v>
      </c>
      <c r="D125">
        <v>1410</v>
      </c>
      <c r="E125">
        <v>4</v>
      </c>
      <c r="F125">
        <v>2003</v>
      </c>
      <c r="G125">
        <v>0</v>
      </c>
      <c r="H125">
        <v>0</v>
      </c>
      <c r="I125">
        <v>0</v>
      </c>
      <c r="J125" s="2" t="s">
        <v>15</v>
      </c>
    </row>
    <row r="126" spans="1:10" x14ac:dyDescent="0.2">
      <c r="A126">
        <v>125</v>
      </c>
      <c r="B126" s="2" t="s">
        <v>14</v>
      </c>
      <c r="C126" s="2" t="s">
        <v>14</v>
      </c>
      <c r="D126">
        <v>760</v>
      </c>
      <c r="E126">
        <v>12</v>
      </c>
      <c r="F126">
        <v>2005</v>
      </c>
      <c r="G126">
        <v>0</v>
      </c>
      <c r="H126">
        <v>0</v>
      </c>
      <c r="I126">
        <v>0</v>
      </c>
      <c r="J126" s="2" t="s">
        <v>15</v>
      </c>
    </row>
    <row r="127" spans="1:10" x14ac:dyDescent="0.2">
      <c r="A127">
        <v>126</v>
      </c>
      <c r="B127" s="2" t="s">
        <v>17</v>
      </c>
      <c r="C127" s="2" t="s">
        <v>14</v>
      </c>
      <c r="D127">
        <v>3370</v>
      </c>
      <c r="E127">
        <v>10</v>
      </c>
      <c r="F127">
        <v>2014</v>
      </c>
      <c r="G127">
        <v>1</v>
      </c>
      <c r="H127">
        <v>18</v>
      </c>
      <c r="I127">
        <v>2011</v>
      </c>
      <c r="J127" s="2" t="s">
        <v>18</v>
      </c>
    </row>
    <row r="128" spans="1:10" x14ac:dyDescent="0.2">
      <c r="A128">
        <v>127</v>
      </c>
      <c r="B128" s="2" t="s">
        <v>17</v>
      </c>
      <c r="C128" s="2" t="s">
        <v>14</v>
      </c>
      <c r="D128">
        <v>1350</v>
      </c>
      <c r="E128">
        <v>12</v>
      </c>
      <c r="F128">
        <v>2005</v>
      </c>
      <c r="G128">
        <v>1</v>
      </c>
      <c r="H128">
        <v>13</v>
      </c>
      <c r="I128">
        <v>2010</v>
      </c>
      <c r="J128" s="2" t="s">
        <v>16</v>
      </c>
    </row>
    <row r="129" spans="1:10" x14ac:dyDescent="0.2">
      <c r="A129">
        <v>128</v>
      </c>
      <c r="B129" s="2" t="s">
        <v>17</v>
      </c>
      <c r="C129" s="2" t="s">
        <v>13</v>
      </c>
      <c r="D129">
        <v>2000</v>
      </c>
      <c r="G129">
        <v>1</v>
      </c>
      <c r="H129">
        <v>1</v>
      </c>
      <c r="I129">
        <v>2013</v>
      </c>
      <c r="J129" s="2" t="s">
        <v>16</v>
      </c>
    </row>
    <row r="130" spans="1:10" x14ac:dyDescent="0.2">
      <c r="A130">
        <v>129</v>
      </c>
      <c r="B130" s="2" t="s">
        <v>14</v>
      </c>
      <c r="C130" s="2" t="s">
        <v>14</v>
      </c>
      <c r="D130">
        <v>2460</v>
      </c>
      <c r="G130">
        <v>1</v>
      </c>
      <c r="H130">
        <v>14</v>
      </c>
      <c r="I130">
        <v>2011</v>
      </c>
      <c r="J130" s="2" t="s">
        <v>16</v>
      </c>
    </row>
    <row r="131" spans="1:10" x14ac:dyDescent="0.2">
      <c r="A131">
        <v>130</v>
      </c>
      <c r="B131" s="2" t="s">
        <v>13</v>
      </c>
      <c r="C131" s="2" t="s">
        <v>14</v>
      </c>
      <c r="D131">
        <v>900</v>
      </c>
      <c r="G131">
        <v>1</v>
      </c>
      <c r="H131">
        <v>13</v>
      </c>
      <c r="I131">
        <v>2010</v>
      </c>
      <c r="J131" s="2" t="s">
        <v>16</v>
      </c>
    </row>
    <row r="132" spans="1:10" x14ac:dyDescent="0.2">
      <c r="A132">
        <v>131</v>
      </c>
      <c r="B132" s="2" t="s">
        <v>13</v>
      </c>
      <c r="C132" s="2" t="s">
        <v>14</v>
      </c>
      <c r="D132">
        <v>920</v>
      </c>
      <c r="E132">
        <v>7</v>
      </c>
      <c r="F132">
        <v>2015</v>
      </c>
      <c r="G132">
        <v>0</v>
      </c>
      <c r="H132">
        <v>0</v>
      </c>
      <c r="I132">
        <v>0</v>
      </c>
      <c r="J132" s="2" t="s">
        <v>15</v>
      </c>
    </row>
    <row r="133" spans="1:10" x14ac:dyDescent="0.2">
      <c r="A133">
        <v>132</v>
      </c>
      <c r="B133" s="2" t="s">
        <v>17</v>
      </c>
      <c r="C133" s="2" t="s">
        <v>13</v>
      </c>
      <c r="D133">
        <v>1040</v>
      </c>
      <c r="G133">
        <v>1</v>
      </c>
      <c r="H133">
        <v>27</v>
      </c>
      <c r="I133">
        <v>2012</v>
      </c>
      <c r="J133" s="2" t="s">
        <v>16</v>
      </c>
    </row>
    <row r="134" spans="1:10" x14ac:dyDescent="0.2">
      <c r="A134">
        <v>133</v>
      </c>
      <c r="B134" s="2" t="s">
        <v>14</v>
      </c>
      <c r="C134" s="2" t="s">
        <v>14</v>
      </c>
      <c r="D134">
        <v>270</v>
      </c>
      <c r="E134">
        <v>8</v>
      </c>
      <c r="F134">
        <v>2013</v>
      </c>
      <c r="G134">
        <v>1</v>
      </c>
      <c r="H134">
        <v>10</v>
      </c>
      <c r="I134">
        <v>2014</v>
      </c>
      <c r="J134" s="2" t="s">
        <v>19</v>
      </c>
    </row>
    <row r="135" spans="1:10" x14ac:dyDescent="0.2">
      <c r="A135">
        <v>134</v>
      </c>
      <c r="B135" s="2" t="s">
        <v>14</v>
      </c>
      <c r="C135" s="2" t="s">
        <v>14</v>
      </c>
      <c r="D135">
        <v>1200</v>
      </c>
      <c r="E135">
        <v>9</v>
      </c>
      <c r="F135">
        <v>2008</v>
      </c>
      <c r="G135">
        <v>0</v>
      </c>
      <c r="H135">
        <v>0</v>
      </c>
      <c r="I135">
        <v>0</v>
      </c>
      <c r="J135" s="2" t="s">
        <v>15</v>
      </c>
    </row>
    <row r="136" spans="1:10" x14ac:dyDescent="0.2">
      <c r="A136">
        <v>135</v>
      </c>
      <c r="B136" s="2" t="s">
        <v>17</v>
      </c>
      <c r="C136" s="2" t="s">
        <v>14</v>
      </c>
      <c r="D136">
        <v>5190</v>
      </c>
      <c r="G136">
        <v>1</v>
      </c>
      <c r="H136">
        <v>1</v>
      </c>
      <c r="I136">
        <v>2013</v>
      </c>
      <c r="J136" s="2" t="s">
        <v>16</v>
      </c>
    </row>
    <row r="137" spans="1:10" x14ac:dyDescent="0.2">
      <c r="A137">
        <v>136</v>
      </c>
      <c r="B137" s="2" t="s">
        <v>14</v>
      </c>
      <c r="C137" s="2" t="s">
        <v>13</v>
      </c>
      <c r="D137">
        <v>2200</v>
      </c>
      <c r="E137">
        <v>12</v>
      </c>
      <c r="F137">
        <v>2010</v>
      </c>
      <c r="G137">
        <v>1</v>
      </c>
      <c r="H137">
        <v>22</v>
      </c>
      <c r="I137">
        <v>2012</v>
      </c>
      <c r="J137" s="2" t="s">
        <v>18</v>
      </c>
    </row>
    <row r="138" spans="1:10" x14ac:dyDescent="0.2">
      <c r="A138">
        <v>137</v>
      </c>
      <c r="B138" s="2" t="s">
        <v>14</v>
      </c>
      <c r="C138" s="2" t="s">
        <v>14</v>
      </c>
      <c r="D138">
        <v>1730</v>
      </c>
      <c r="E138">
        <v>7</v>
      </c>
      <c r="F138">
        <v>2015</v>
      </c>
      <c r="G138">
        <v>1</v>
      </c>
      <c r="H138">
        <v>40</v>
      </c>
      <c r="I138">
        <v>2014</v>
      </c>
      <c r="J138" s="2" t="s">
        <v>16</v>
      </c>
    </row>
    <row r="139" spans="1:10" x14ac:dyDescent="0.2">
      <c r="A139">
        <v>138</v>
      </c>
      <c r="B139" s="2" t="s">
        <v>14</v>
      </c>
      <c r="C139" s="2" t="s">
        <v>13</v>
      </c>
      <c r="D139">
        <v>25360</v>
      </c>
      <c r="E139">
        <v>10</v>
      </c>
      <c r="F139">
        <v>2014</v>
      </c>
      <c r="G139">
        <v>0</v>
      </c>
      <c r="H139">
        <v>0</v>
      </c>
      <c r="I139">
        <v>0</v>
      </c>
      <c r="J139" s="2" t="s">
        <v>15</v>
      </c>
    </row>
    <row r="140" spans="1:10" x14ac:dyDescent="0.2">
      <c r="A140">
        <v>139</v>
      </c>
      <c r="B140" s="2" t="s">
        <v>14</v>
      </c>
      <c r="C140" s="2" t="s">
        <v>14</v>
      </c>
      <c r="D140">
        <v>1700</v>
      </c>
      <c r="E140">
        <v>1</v>
      </c>
      <c r="F140">
        <v>2008</v>
      </c>
      <c r="G140">
        <v>1</v>
      </c>
      <c r="H140">
        <v>14</v>
      </c>
      <c r="I140">
        <v>2011</v>
      </c>
      <c r="J140" s="2" t="s">
        <v>16</v>
      </c>
    </row>
    <row r="141" spans="1:10" x14ac:dyDescent="0.2">
      <c r="A141">
        <v>140</v>
      </c>
      <c r="B141" s="2" t="s">
        <v>14</v>
      </c>
      <c r="C141" s="2" t="s">
        <v>13</v>
      </c>
      <c r="D141">
        <v>1090</v>
      </c>
      <c r="E141">
        <v>7</v>
      </c>
      <c r="F141">
        <v>2010</v>
      </c>
      <c r="G141">
        <v>1</v>
      </c>
      <c r="H141">
        <v>1</v>
      </c>
      <c r="I141">
        <v>2013</v>
      </c>
      <c r="J141" s="2" t="s">
        <v>16</v>
      </c>
    </row>
    <row r="142" spans="1:10" x14ac:dyDescent="0.2">
      <c r="A142">
        <v>141</v>
      </c>
      <c r="B142" s="2" t="s">
        <v>13</v>
      </c>
      <c r="C142" s="2" t="s">
        <v>13</v>
      </c>
      <c r="D142">
        <v>1540</v>
      </c>
      <c r="G142">
        <v>1</v>
      </c>
      <c r="H142">
        <v>22</v>
      </c>
      <c r="I142">
        <v>2012</v>
      </c>
      <c r="J142" s="2" t="s">
        <v>19</v>
      </c>
    </row>
    <row r="143" spans="1:10" x14ac:dyDescent="0.2">
      <c r="A143">
        <v>142</v>
      </c>
      <c r="B143" s="2" t="s">
        <v>14</v>
      </c>
      <c r="C143" s="2" t="s">
        <v>14</v>
      </c>
      <c r="D143">
        <v>1090</v>
      </c>
      <c r="E143">
        <v>7</v>
      </c>
      <c r="F143">
        <v>2002</v>
      </c>
      <c r="G143">
        <v>0</v>
      </c>
      <c r="H143">
        <v>0</v>
      </c>
      <c r="I143">
        <v>0</v>
      </c>
      <c r="J143" s="2" t="s">
        <v>15</v>
      </c>
    </row>
    <row r="144" spans="1:10" x14ac:dyDescent="0.2">
      <c r="A144">
        <v>143</v>
      </c>
      <c r="B144" s="2" t="s">
        <v>17</v>
      </c>
      <c r="C144" s="2" t="s">
        <v>14</v>
      </c>
      <c r="D144">
        <v>2930</v>
      </c>
      <c r="E144">
        <v>12</v>
      </c>
      <c r="F144">
        <v>2002</v>
      </c>
      <c r="G144">
        <v>0</v>
      </c>
      <c r="H144">
        <v>0</v>
      </c>
      <c r="I144">
        <v>0</v>
      </c>
      <c r="J144" s="2" t="s">
        <v>15</v>
      </c>
    </row>
    <row r="145" spans="1:10" x14ac:dyDescent="0.2">
      <c r="A145">
        <v>144</v>
      </c>
      <c r="B145" s="2" t="s">
        <v>14</v>
      </c>
      <c r="C145" s="2" t="s">
        <v>13</v>
      </c>
      <c r="D145">
        <v>16570</v>
      </c>
      <c r="G145">
        <v>0</v>
      </c>
      <c r="H145">
        <v>0</v>
      </c>
      <c r="I145">
        <v>0</v>
      </c>
      <c r="J145" s="2" t="s">
        <v>15</v>
      </c>
    </row>
    <row r="146" spans="1:10" x14ac:dyDescent="0.2">
      <c r="A146">
        <v>145</v>
      </c>
      <c r="B146" s="2" t="s">
        <v>14</v>
      </c>
      <c r="C146" s="2" t="s">
        <v>14</v>
      </c>
      <c r="D146">
        <v>280</v>
      </c>
      <c r="G146">
        <v>1</v>
      </c>
      <c r="H146">
        <v>45</v>
      </c>
      <c r="I146">
        <v>2009</v>
      </c>
      <c r="J146" s="2" t="s">
        <v>18</v>
      </c>
    </row>
    <row r="147" spans="1:10" x14ac:dyDescent="0.2">
      <c r="A147">
        <v>146</v>
      </c>
      <c r="B147" s="2" t="s">
        <v>17</v>
      </c>
      <c r="C147" s="2" t="s">
        <v>13</v>
      </c>
      <c r="D147">
        <v>8050</v>
      </c>
      <c r="E147">
        <v>10</v>
      </c>
      <c r="F147">
        <v>1961</v>
      </c>
      <c r="G147">
        <v>1</v>
      </c>
      <c r="H147">
        <v>48</v>
      </c>
      <c r="I147">
        <v>2012</v>
      </c>
      <c r="J147" s="2" t="s">
        <v>16</v>
      </c>
    </row>
    <row r="148" spans="1:10" x14ac:dyDescent="0.2">
      <c r="A148">
        <v>147</v>
      </c>
      <c r="B148" s="2" t="s">
        <v>17</v>
      </c>
      <c r="C148" s="2" t="s">
        <v>13</v>
      </c>
      <c r="D148">
        <v>8540</v>
      </c>
      <c r="G148">
        <v>0</v>
      </c>
      <c r="H148">
        <v>0</v>
      </c>
      <c r="I148">
        <v>0</v>
      </c>
      <c r="J148" s="2" t="s">
        <v>15</v>
      </c>
    </row>
    <row r="149" spans="1:10" x14ac:dyDescent="0.2">
      <c r="A149">
        <v>148</v>
      </c>
      <c r="B149" s="2" t="s">
        <v>14</v>
      </c>
      <c r="C149" s="2" t="s">
        <v>14</v>
      </c>
      <c r="D149">
        <v>2090</v>
      </c>
      <c r="E149">
        <v>12</v>
      </c>
      <c r="F149">
        <v>2008</v>
      </c>
      <c r="G149">
        <v>0</v>
      </c>
      <c r="H149">
        <v>0</v>
      </c>
      <c r="I149">
        <v>0</v>
      </c>
      <c r="J149" s="2" t="s">
        <v>15</v>
      </c>
    </row>
    <row r="150" spans="1:10" x14ac:dyDescent="0.2">
      <c r="A150">
        <v>149</v>
      </c>
      <c r="B150" s="2" t="s">
        <v>17</v>
      </c>
      <c r="C150" s="2" t="s">
        <v>14</v>
      </c>
      <c r="D150">
        <v>2610</v>
      </c>
      <c r="E150">
        <v>7</v>
      </c>
      <c r="F150">
        <v>2006</v>
      </c>
      <c r="G150">
        <v>1</v>
      </c>
      <c r="H150">
        <v>14</v>
      </c>
      <c r="I150">
        <v>2011</v>
      </c>
      <c r="J150" s="2" t="s">
        <v>16</v>
      </c>
    </row>
    <row r="151" spans="1:10" x14ac:dyDescent="0.2">
      <c r="A151">
        <v>150</v>
      </c>
      <c r="B151" s="2" t="s">
        <v>13</v>
      </c>
      <c r="C151" s="2" t="s">
        <v>13</v>
      </c>
      <c r="D151">
        <v>31830</v>
      </c>
      <c r="E151">
        <v>3</v>
      </c>
      <c r="F151">
        <v>2010</v>
      </c>
      <c r="G151">
        <v>0</v>
      </c>
      <c r="H151">
        <v>0</v>
      </c>
      <c r="I151">
        <v>0</v>
      </c>
      <c r="J151" s="2" t="s">
        <v>15</v>
      </c>
    </row>
    <row r="152" spans="1:10" x14ac:dyDescent="0.2">
      <c r="A152">
        <v>151</v>
      </c>
      <c r="B152" s="2" t="s">
        <v>17</v>
      </c>
      <c r="C152" s="2" t="s">
        <v>13</v>
      </c>
      <c r="D152">
        <v>4360</v>
      </c>
      <c r="E152">
        <v>10</v>
      </c>
      <c r="F152">
        <v>2005</v>
      </c>
      <c r="G152">
        <v>0</v>
      </c>
      <c r="H152">
        <v>0</v>
      </c>
      <c r="I152">
        <v>0</v>
      </c>
      <c r="J152" s="2" t="s">
        <v>15</v>
      </c>
    </row>
    <row r="153" spans="1:10" x14ac:dyDescent="0.2">
      <c r="A153">
        <v>152</v>
      </c>
      <c r="B153" s="2" t="s">
        <v>14</v>
      </c>
      <c r="C153" s="2" t="s">
        <v>14</v>
      </c>
      <c r="D153">
        <v>1780</v>
      </c>
      <c r="G153">
        <v>0</v>
      </c>
      <c r="H153">
        <v>0</v>
      </c>
      <c r="I153">
        <v>0</v>
      </c>
      <c r="J153" s="2" t="s">
        <v>15</v>
      </c>
    </row>
    <row r="154" spans="1:10" x14ac:dyDescent="0.2">
      <c r="A154">
        <v>153</v>
      </c>
      <c r="B154" s="2" t="s">
        <v>14</v>
      </c>
      <c r="C154" s="2" t="s">
        <v>14</v>
      </c>
      <c r="D154">
        <v>16240</v>
      </c>
      <c r="E154">
        <v>10</v>
      </c>
      <c r="F154">
        <v>2000</v>
      </c>
      <c r="G154">
        <v>1</v>
      </c>
      <c r="H154">
        <v>18</v>
      </c>
      <c r="I154">
        <v>2011</v>
      </c>
      <c r="J154" s="2" t="s">
        <v>18</v>
      </c>
    </row>
    <row r="155" spans="1:10" x14ac:dyDescent="0.2">
      <c r="A155">
        <v>154</v>
      </c>
      <c r="B155" s="2" t="s">
        <v>17</v>
      </c>
      <c r="C155" s="2" t="s">
        <v>13</v>
      </c>
      <c r="D155">
        <v>16420</v>
      </c>
      <c r="G155">
        <v>0</v>
      </c>
      <c r="H155">
        <v>0</v>
      </c>
      <c r="I155">
        <v>0</v>
      </c>
      <c r="J155" s="2" t="s">
        <v>15</v>
      </c>
    </row>
    <row r="156" spans="1:10" x14ac:dyDescent="0.2">
      <c r="A156">
        <v>155</v>
      </c>
      <c r="B156" s="2" t="s">
        <v>17</v>
      </c>
      <c r="C156" s="2" t="s">
        <v>14</v>
      </c>
      <c r="D156">
        <v>3050</v>
      </c>
      <c r="G156">
        <v>1</v>
      </c>
      <c r="H156">
        <v>35</v>
      </c>
      <c r="I156">
        <v>2010</v>
      </c>
      <c r="J156" s="2" t="s">
        <v>16</v>
      </c>
    </row>
    <row r="157" spans="1:10" x14ac:dyDescent="0.2">
      <c r="A157">
        <v>156</v>
      </c>
      <c r="B157" s="2" t="s">
        <v>14</v>
      </c>
      <c r="C157" s="2" t="s">
        <v>14</v>
      </c>
      <c r="D157">
        <v>2020</v>
      </c>
      <c r="E157">
        <v>2</v>
      </c>
      <c r="F157">
        <v>2011</v>
      </c>
      <c r="G157">
        <v>1</v>
      </c>
      <c r="H157">
        <v>14</v>
      </c>
      <c r="I157">
        <v>2011</v>
      </c>
      <c r="J157" s="2" t="s">
        <v>19</v>
      </c>
    </row>
    <row r="158" spans="1:10" x14ac:dyDescent="0.2">
      <c r="A158">
        <v>157</v>
      </c>
      <c r="B158" s="2" t="s">
        <v>14</v>
      </c>
      <c r="C158" s="2" t="s">
        <v>13</v>
      </c>
      <c r="D158">
        <v>2950</v>
      </c>
      <c r="E158">
        <v>10</v>
      </c>
      <c r="F158">
        <v>2004</v>
      </c>
      <c r="G158">
        <v>0</v>
      </c>
      <c r="H158">
        <v>0</v>
      </c>
      <c r="I158">
        <v>0</v>
      </c>
      <c r="J158" s="2" t="s">
        <v>15</v>
      </c>
    </row>
    <row r="159" spans="1:10" x14ac:dyDescent="0.2">
      <c r="A159">
        <v>158</v>
      </c>
      <c r="B159" s="2" t="s">
        <v>17</v>
      </c>
      <c r="C159" s="2" t="s">
        <v>13</v>
      </c>
      <c r="D159">
        <v>11840</v>
      </c>
      <c r="G159">
        <v>1</v>
      </c>
      <c r="H159">
        <v>31</v>
      </c>
      <c r="I159">
        <v>2009</v>
      </c>
      <c r="J159" s="2" t="s">
        <v>18</v>
      </c>
    </row>
    <row r="160" spans="1:10" x14ac:dyDescent="0.2">
      <c r="A160">
        <v>159</v>
      </c>
      <c r="B160" s="2" t="s">
        <v>17</v>
      </c>
      <c r="C160" s="2" t="s">
        <v>14</v>
      </c>
      <c r="D160">
        <v>8530</v>
      </c>
      <c r="E160">
        <v>3</v>
      </c>
      <c r="F160">
        <v>2013</v>
      </c>
      <c r="G160">
        <v>0</v>
      </c>
      <c r="H160">
        <v>0</v>
      </c>
      <c r="I160">
        <v>0</v>
      </c>
      <c r="J160" s="2" t="s">
        <v>15</v>
      </c>
    </row>
    <row r="161" spans="1:10" x14ac:dyDescent="0.2">
      <c r="A161">
        <v>160</v>
      </c>
      <c r="B161" s="2" t="s">
        <v>17</v>
      </c>
      <c r="C161" s="2" t="s">
        <v>13</v>
      </c>
      <c r="D161">
        <v>17110</v>
      </c>
      <c r="E161">
        <v>11</v>
      </c>
      <c r="F161">
        <v>2005</v>
      </c>
      <c r="G161">
        <v>0</v>
      </c>
      <c r="H161">
        <v>0</v>
      </c>
      <c r="I161">
        <v>0</v>
      </c>
      <c r="J161" s="2" t="s">
        <v>15</v>
      </c>
    </row>
    <row r="162" spans="1:10" x14ac:dyDescent="0.2">
      <c r="A162">
        <v>161</v>
      </c>
      <c r="B162" s="2" t="s">
        <v>14</v>
      </c>
      <c r="C162" s="2" t="s">
        <v>13</v>
      </c>
      <c r="D162">
        <v>2970</v>
      </c>
      <c r="E162">
        <v>3</v>
      </c>
      <c r="F162">
        <v>2005</v>
      </c>
      <c r="G162">
        <v>0</v>
      </c>
      <c r="H162">
        <v>0</v>
      </c>
      <c r="I162">
        <v>0</v>
      </c>
      <c r="J162" s="2" t="s">
        <v>15</v>
      </c>
    </row>
    <row r="163" spans="1:10" x14ac:dyDescent="0.2">
      <c r="A163">
        <v>162</v>
      </c>
      <c r="B163" s="2" t="s">
        <v>17</v>
      </c>
      <c r="C163" s="2" t="s">
        <v>13</v>
      </c>
      <c r="D163">
        <v>5340</v>
      </c>
      <c r="E163">
        <v>3</v>
      </c>
      <c r="F163">
        <v>2012</v>
      </c>
      <c r="G163">
        <v>1</v>
      </c>
      <c r="H163">
        <v>13</v>
      </c>
      <c r="I163">
        <v>2010</v>
      </c>
      <c r="J163" s="2" t="s">
        <v>16</v>
      </c>
    </row>
    <row r="164" spans="1:10" x14ac:dyDescent="0.2">
      <c r="A164">
        <v>163</v>
      </c>
      <c r="B164" s="2" t="s">
        <v>14</v>
      </c>
      <c r="C164" s="2" t="s">
        <v>14</v>
      </c>
      <c r="D164">
        <v>1480</v>
      </c>
      <c r="E164">
        <v>4</v>
      </c>
      <c r="F164">
        <v>2009</v>
      </c>
      <c r="G164">
        <v>0</v>
      </c>
      <c r="H164">
        <v>0</v>
      </c>
      <c r="I164">
        <v>0</v>
      </c>
      <c r="J164" s="2" t="s">
        <v>15</v>
      </c>
    </row>
    <row r="165" spans="1:10" x14ac:dyDescent="0.2">
      <c r="A165">
        <v>164</v>
      </c>
      <c r="B165" s="2" t="s">
        <v>14</v>
      </c>
      <c r="C165" s="2" t="s">
        <v>14</v>
      </c>
      <c r="D165">
        <v>1160</v>
      </c>
      <c r="E165">
        <v>9</v>
      </c>
      <c r="F165">
        <v>2005</v>
      </c>
      <c r="G165">
        <v>1</v>
      </c>
      <c r="H165">
        <v>13</v>
      </c>
      <c r="I165">
        <v>2010</v>
      </c>
      <c r="J165" s="2" t="s">
        <v>16</v>
      </c>
    </row>
    <row r="166" spans="1:10" x14ac:dyDescent="0.2">
      <c r="A166">
        <v>165</v>
      </c>
      <c r="B166" s="2" t="s">
        <v>14</v>
      </c>
      <c r="C166" s="2" t="s">
        <v>14</v>
      </c>
      <c r="D166">
        <v>3720</v>
      </c>
      <c r="E166">
        <v>4</v>
      </c>
      <c r="F166">
        <v>2005</v>
      </c>
      <c r="G166">
        <v>1</v>
      </c>
      <c r="H166">
        <v>13</v>
      </c>
      <c r="I166">
        <v>2010</v>
      </c>
      <c r="J166" s="2" t="s">
        <v>16</v>
      </c>
    </row>
    <row r="167" spans="1:10" x14ac:dyDescent="0.2">
      <c r="A167">
        <v>166</v>
      </c>
      <c r="B167" s="2" t="s">
        <v>14</v>
      </c>
      <c r="C167" s="2" t="s">
        <v>13</v>
      </c>
      <c r="D167">
        <v>100</v>
      </c>
      <c r="E167">
        <v>4</v>
      </c>
      <c r="F167">
        <v>2014</v>
      </c>
      <c r="G167">
        <v>1</v>
      </c>
      <c r="H167">
        <v>31</v>
      </c>
      <c r="I167">
        <v>2013</v>
      </c>
      <c r="J167" s="2" t="s">
        <v>16</v>
      </c>
    </row>
    <row r="168" spans="1:10" x14ac:dyDescent="0.2">
      <c r="A168">
        <v>167</v>
      </c>
      <c r="B168" s="2" t="s">
        <v>14</v>
      </c>
      <c r="C168" s="2" t="s">
        <v>14</v>
      </c>
      <c r="D168">
        <v>140</v>
      </c>
      <c r="E168">
        <v>4</v>
      </c>
      <c r="F168">
        <v>2008</v>
      </c>
      <c r="G168">
        <v>0</v>
      </c>
      <c r="H168">
        <v>0</v>
      </c>
      <c r="I168">
        <v>0</v>
      </c>
      <c r="J168" s="2" t="s">
        <v>15</v>
      </c>
    </row>
    <row r="169" spans="1:10" x14ac:dyDescent="0.2">
      <c r="A169">
        <v>168</v>
      </c>
      <c r="B169" s="2" t="s">
        <v>14</v>
      </c>
      <c r="C169" s="2" t="s">
        <v>14</v>
      </c>
      <c r="D169">
        <v>12540</v>
      </c>
      <c r="G169">
        <v>0</v>
      </c>
      <c r="H169">
        <v>0</v>
      </c>
      <c r="I169">
        <v>0</v>
      </c>
      <c r="J169" s="2" t="s">
        <v>15</v>
      </c>
    </row>
    <row r="170" spans="1:10" x14ac:dyDescent="0.2">
      <c r="A170">
        <v>169</v>
      </c>
      <c r="B170" s="2" t="s">
        <v>17</v>
      </c>
      <c r="C170" s="2" t="s">
        <v>14</v>
      </c>
      <c r="D170">
        <v>980</v>
      </c>
      <c r="E170">
        <v>7</v>
      </c>
      <c r="F170">
        <v>2014</v>
      </c>
      <c r="G170">
        <v>1</v>
      </c>
      <c r="H170">
        <v>18</v>
      </c>
      <c r="I170">
        <v>2014</v>
      </c>
      <c r="J170" s="2" t="s">
        <v>18</v>
      </c>
    </row>
    <row r="171" spans="1:10" x14ac:dyDescent="0.2">
      <c r="A171">
        <v>170</v>
      </c>
      <c r="B171" s="2" t="s">
        <v>14</v>
      </c>
      <c r="C171" s="2" t="s">
        <v>14</v>
      </c>
      <c r="D171">
        <v>1070</v>
      </c>
      <c r="E171">
        <v>5</v>
      </c>
      <c r="F171">
        <v>2015</v>
      </c>
      <c r="G171">
        <v>1</v>
      </c>
      <c r="H171">
        <v>14</v>
      </c>
      <c r="I171">
        <v>2011</v>
      </c>
      <c r="J171" s="2" t="s">
        <v>16</v>
      </c>
    </row>
    <row r="172" spans="1:10" x14ac:dyDescent="0.2">
      <c r="A172">
        <v>171</v>
      </c>
      <c r="B172" s="2" t="s">
        <v>14</v>
      </c>
      <c r="C172" s="2" t="s">
        <v>14</v>
      </c>
      <c r="D172">
        <v>2640</v>
      </c>
      <c r="G172">
        <v>0</v>
      </c>
      <c r="H172">
        <v>0</v>
      </c>
      <c r="I172">
        <v>0</v>
      </c>
      <c r="J172" s="2" t="s">
        <v>15</v>
      </c>
    </row>
    <row r="173" spans="1:10" x14ac:dyDescent="0.2">
      <c r="A173">
        <v>172</v>
      </c>
      <c r="B173" s="2" t="s">
        <v>14</v>
      </c>
      <c r="C173" s="2" t="s">
        <v>14</v>
      </c>
      <c r="D173">
        <v>110</v>
      </c>
      <c r="G173">
        <v>1</v>
      </c>
      <c r="H173">
        <v>40</v>
      </c>
      <c r="I173">
        <v>2014</v>
      </c>
      <c r="J173" s="2" t="s">
        <v>16</v>
      </c>
    </row>
    <row r="174" spans="1:10" x14ac:dyDescent="0.2">
      <c r="A174">
        <v>173</v>
      </c>
      <c r="B174" s="2" t="s">
        <v>14</v>
      </c>
      <c r="C174" s="2" t="s">
        <v>14</v>
      </c>
      <c r="D174">
        <v>350</v>
      </c>
      <c r="E174">
        <v>12</v>
      </c>
      <c r="F174">
        <v>2012</v>
      </c>
      <c r="G174">
        <v>0</v>
      </c>
      <c r="H174">
        <v>0</v>
      </c>
      <c r="I174">
        <v>0</v>
      </c>
      <c r="J174" s="2" t="s">
        <v>15</v>
      </c>
    </row>
    <row r="175" spans="1:10" x14ac:dyDescent="0.2">
      <c r="A175">
        <v>174</v>
      </c>
      <c r="B175" s="2" t="s">
        <v>14</v>
      </c>
      <c r="C175" s="2" t="s">
        <v>14</v>
      </c>
      <c r="D175">
        <v>13090</v>
      </c>
      <c r="G175">
        <v>1</v>
      </c>
      <c r="H175">
        <v>22</v>
      </c>
      <c r="I175">
        <v>2012</v>
      </c>
      <c r="J175" s="2" t="s">
        <v>16</v>
      </c>
    </row>
    <row r="176" spans="1:10" x14ac:dyDescent="0.2">
      <c r="A176">
        <v>175</v>
      </c>
      <c r="B176" s="2" t="s">
        <v>13</v>
      </c>
      <c r="C176" s="2" t="s">
        <v>14</v>
      </c>
      <c r="D176">
        <v>4130</v>
      </c>
      <c r="G176">
        <v>0</v>
      </c>
      <c r="H176">
        <v>0</v>
      </c>
      <c r="I176">
        <v>0</v>
      </c>
      <c r="J176" s="2" t="s">
        <v>15</v>
      </c>
    </row>
    <row r="177" spans="1:10" x14ac:dyDescent="0.2">
      <c r="A177">
        <v>176</v>
      </c>
      <c r="B177" s="2" t="s">
        <v>14</v>
      </c>
      <c r="C177" s="2" t="s">
        <v>14</v>
      </c>
      <c r="D177">
        <v>3770</v>
      </c>
      <c r="G177">
        <v>0</v>
      </c>
      <c r="H177">
        <v>0</v>
      </c>
      <c r="I177">
        <v>0</v>
      </c>
      <c r="J177" s="2" t="s">
        <v>15</v>
      </c>
    </row>
    <row r="178" spans="1:10" x14ac:dyDescent="0.2">
      <c r="A178">
        <v>177</v>
      </c>
      <c r="B178" s="2" t="s">
        <v>14</v>
      </c>
      <c r="C178" s="2" t="s">
        <v>14</v>
      </c>
      <c r="D178">
        <v>1250</v>
      </c>
      <c r="E178">
        <v>2</v>
      </c>
      <c r="F178">
        <v>2004</v>
      </c>
      <c r="G178">
        <v>1</v>
      </c>
      <c r="H178">
        <v>5</v>
      </c>
      <c r="I178">
        <v>2013</v>
      </c>
      <c r="J178" s="2" t="s">
        <v>18</v>
      </c>
    </row>
    <row r="179" spans="1:10" x14ac:dyDescent="0.2">
      <c r="A179">
        <v>178</v>
      </c>
      <c r="B179" s="2" t="s">
        <v>17</v>
      </c>
      <c r="C179" s="2" t="s">
        <v>14</v>
      </c>
      <c r="D179">
        <v>1710</v>
      </c>
      <c r="G179">
        <v>0</v>
      </c>
      <c r="H179">
        <v>0</v>
      </c>
      <c r="I179">
        <v>0</v>
      </c>
      <c r="J179" s="2" t="s">
        <v>15</v>
      </c>
    </row>
    <row r="180" spans="1:10" x14ac:dyDescent="0.2">
      <c r="A180">
        <v>179</v>
      </c>
      <c r="B180" s="2" t="s">
        <v>14</v>
      </c>
      <c r="C180" s="2" t="s">
        <v>13</v>
      </c>
      <c r="D180">
        <v>480</v>
      </c>
      <c r="G180">
        <v>0</v>
      </c>
      <c r="H180">
        <v>0</v>
      </c>
      <c r="I180">
        <v>0</v>
      </c>
      <c r="J180" s="2" t="s">
        <v>15</v>
      </c>
    </row>
    <row r="181" spans="1:10" x14ac:dyDescent="0.2">
      <c r="A181">
        <v>180</v>
      </c>
      <c r="B181" s="2" t="s">
        <v>17</v>
      </c>
      <c r="C181" s="2" t="s">
        <v>14</v>
      </c>
      <c r="D181">
        <v>5800</v>
      </c>
      <c r="E181">
        <v>9</v>
      </c>
      <c r="F181">
        <v>2010</v>
      </c>
      <c r="G181">
        <v>0</v>
      </c>
      <c r="H181">
        <v>0</v>
      </c>
      <c r="I181">
        <v>0</v>
      </c>
      <c r="J181" s="2" t="s">
        <v>15</v>
      </c>
    </row>
    <row r="182" spans="1:10" x14ac:dyDescent="0.2">
      <c r="A182">
        <v>181</v>
      </c>
      <c r="B182" s="2" t="s">
        <v>14</v>
      </c>
      <c r="C182" s="2" t="s">
        <v>14</v>
      </c>
      <c r="D182">
        <v>12610</v>
      </c>
      <c r="E182">
        <v>3</v>
      </c>
      <c r="F182">
        <v>2013</v>
      </c>
      <c r="G182">
        <v>1</v>
      </c>
      <c r="H182">
        <v>14</v>
      </c>
      <c r="I182">
        <v>2011</v>
      </c>
      <c r="J182" s="2" t="s">
        <v>16</v>
      </c>
    </row>
    <row r="183" spans="1:10" x14ac:dyDescent="0.2">
      <c r="A183">
        <v>182</v>
      </c>
      <c r="B183" s="2" t="s">
        <v>17</v>
      </c>
      <c r="C183" s="2" t="s">
        <v>13</v>
      </c>
      <c r="D183">
        <v>1390</v>
      </c>
      <c r="G183">
        <v>1</v>
      </c>
      <c r="H183">
        <v>9</v>
      </c>
      <c r="I183">
        <v>2011</v>
      </c>
      <c r="J183" s="2" t="s">
        <v>19</v>
      </c>
    </row>
    <row r="184" spans="1:10" x14ac:dyDescent="0.2">
      <c r="A184">
        <v>183</v>
      </c>
      <c r="B184" s="2" t="s">
        <v>14</v>
      </c>
      <c r="C184" s="2" t="s">
        <v>14</v>
      </c>
      <c r="D184">
        <v>9670</v>
      </c>
      <c r="G184">
        <v>0</v>
      </c>
      <c r="H184">
        <v>0</v>
      </c>
      <c r="I184">
        <v>0</v>
      </c>
      <c r="J184" s="2" t="s">
        <v>15</v>
      </c>
    </row>
    <row r="185" spans="1:10" x14ac:dyDescent="0.2">
      <c r="A185">
        <v>184</v>
      </c>
      <c r="B185" s="2" t="s">
        <v>17</v>
      </c>
      <c r="C185" s="2" t="s">
        <v>13</v>
      </c>
      <c r="D185">
        <v>3560</v>
      </c>
      <c r="G185">
        <v>0</v>
      </c>
      <c r="H185">
        <v>0</v>
      </c>
      <c r="I185">
        <v>0</v>
      </c>
      <c r="J185" s="2" t="s">
        <v>15</v>
      </c>
    </row>
    <row r="186" spans="1:10" x14ac:dyDescent="0.2">
      <c r="A186">
        <v>185</v>
      </c>
      <c r="B186" s="2" t="s">
        <v>17</v>
      </c>
      <c r="C186" s="2" t="s">
        <v>13</v>
      </c>
      <c r="D186">
        <v>1860</v>
      </c>
      <c r="E186">
        <v>5</v>
      </c>
      <c r="F186">
        <v>2015</v>
      </c>
      <c r="G186">
        <v>0</v>
      </c>
      <c r="H186">
        <v>0</v>
      </c>
      <c r="I186">
        <v>0</v>
      </c>
      <c r="J186" s="2" t="s">
        <v>15</v>
      </c>
    </row>
    <row r="187" spans="1:10" x14ac:dyDescent="0.2">
      <c r="A187">
        <v>186</v>
      </c>
      <c r="B187" s="2" t="s">
        <v>14</v>
      </c>
      <c r="C187" s="2" t="s">
        <v>14</v>
      </c>
      <c r="D187">
        <v>290</v>
      </c>
      <c r="E187">
        <v>10</v>
      </c>
      <c r="F187">
        <v>2011</v>
      </c>
      <c r="G187">
        <v>1</v>
      </c>
      <c r="H187">
        <v>40</v>
      </c>
      <c r="I187">
        <v>2014</v>
      </c>
      <c r="J187" s="2" t="s">
        <v>16</v>
      </c>
    </row>
    <row r="188" spans="1:10" x14ac:dyDescent="0.2">
      <c r="A188">
        <v>187</v>
      </c>
      <c r="B188" s="2" t="s">
        <v>14</v>
      </c>
      <c r="C188" s="2" t="s">
        <v>13</v>
      </c>
      <c r="D188">
        <v>19360</v>
      </c>
      <c r="G188">
        <v>0</v>
      </c>
      <c r="H188">
        <v>0</v>
      </c>
      <c r="I188">
        <v>0</v>
      </c>
      <c r="J188" s="2" t="s">
        <v>15</v>
      </c>
    </row>
    <row r="189" spans="1:10" x14ac:dyDescent="0.2">
      <c r="A189">
        <v>188</v>
      </c>
      <c r="B189" s="2" t="s">
        <v>17</v>
      </c>
      <c r="C189" s="2" t="s">
        <v>14</v>
      </c>
      <c r="D189">
        <v>850</v>
      </c>
      <c r="G189">
        <v>1</v>
      </c>
      <c r="H189">
        <v>18</v>
      </c>
      <c r="I189">
        <v>2011</v>
      </c>
      <c r="J189" s="2" t="s">
        <v>18</v>
      </c>
    </row>
    <row r="190" spans="1:10" x14ac:dyDescent="0.2">
      <c r="A190">
        <v>189</v>
      </c>
      <c r="B190" s="2" t="s">
        <v>17</v>
      </c>
      <c r="C190" s="2" t="s">
        <v>14</v>
      </c>
      <c r="D190">
        <v>5760</v>
      </c>
      <c r="E190">
        <v>7</v>
      </c>
      <c r="F190">
        <v>2014</v>
      </c>
      <c r="G190">
        <v>0</v>
      </c>
      <c r="H190">
        <v>0</v>
      </c>
      <c r="I190">
        <v>0</v>
      </c>
      <c r="J190" s="2" t="s">
        <v>15</v>
      </c>
    </row>
    <row r="191" spans="1:10" x14ac:dyDescent="0.2">
      <c r="A191">
        <v>190</v>
      </c>
      <c r="B191" s="2" t="s">
        <v>14</v>
      </c>
      <c r="C191" s="2" t="s">
        <v>14</v>
      </c>
      <c r="D191">
        <v>1470</v>
      </c>
      <c r="E191">
        <v>12</v>
      </c>
      <c r="F191">
        <v>2006</v>
      </c>
      <c r="G191">
        <v>1</v>
      </c>
      <c r="H191">
        <v>40</v>
      </c>
      <c r="I191">
        <v>2014</v>
      </c>
      <c r="J191" s="2" t="s">
        <v>16</v>
      </c>
    </row>
    <row r="192" spans="1:10" x14ac:dyDescent="0.2">
      <c r="A192">
        <v>191</v>
      </c>
      <c r="B192" s="2" t="s">
        <v>14</v>
      </c>
      <c r="C192" s="2" t="s">
        <v>14</v>
      </c>
      <c r="D192">
        <v>1100</v>
      </c>
      <c r="E192">
        <v>8</v>
      </c>
      <c r="F192">
        <v>2013</v>
      </c>
      <c r="G192">
        <v>1</v>
      </c>
      <c r="H192">
        <v>40</v>
      </c>
      <c r="I192">
        <v>2014</v>
      </c>
      <c r="J192" s="2" t="s">
        <v>16</v>
      </c>
    </row>
    <row r="193" spans="1:10" x14ac:dyDescent="0.2">
      <c r="A193">
        <v>192</v>
      </c>
      <c r="B193" s="2" t="s">
        <v>17</v>
      </c>
      <c r="C193" s="2" t="s">
        <v>13</v>
      </c>
      <c r="D193">
        <v>2770</v>
      </c>
      <c r="E193">
        <v>3</v>
      </c>
      <c r="F193">
        <v>2008</v>
      </c>
      <c r="G193">
        <v>1</v>
      </c>
      <c r="H193">
        <v>40</v>
      </c>
      <c r="I193">
        <v>2014</v>
      </c>
      <c r="J193" s="2" t="s">
        <v>16</v>
      </c>
    </row>
    <row r="194" spans="1:10" x14ac:dyDescent="0.2">
      <c r="A194">
        <v>193</v>
      </c>
      <c r="B194" s="2" t="s">
        <v>14</v>
      </c>
      <c r="C194" s="2" t="s">
        <v>14</v>
      </c>
      <c r="D194">
        <v>520</v>
      </c>
      <c r="G194">
        <v>0</v>
      </c>
      <c r="H194">
        <v>0</v>
      </c>
      <c r="I194">
        <v>0</v>
      </c>
      <c r="J194" s="2" t="s">
        <v>15</v>
      </c>
    </row>
    <row r="195" spans="1:10" x14ac:dyDescent="0.2">
      <c r="A195">
        <v>194</v>
      </c>
      <c r="B195" s="2" t="s">
        <v>17</v>
      </c>
      <c r="C195" s="2" t="s">
        <v>13</v>
      </c>
      <c r="D195">
        <v>16970</v>
      </c>
      <c r="G195">
        <v>1</v>
      </c>
      <c r="H195">
        <v>5</v>
      </c>
      <c r="I195">
        <v>2013</v>
      </c>
      <c r="J195" s="2" t="s">
        <v>18</v>
      </c>
    </row>
    <row r="196" spans="1:10" x14ac:dyDescent="0.2">
      <c r="A196">
        <v>195</v>
      </c>
      <c r="B196" s="2" t="s">
        <v>14</v>
      </c>
      <c r="C196" s="2" t="s">
        <v>13</v>
      </c>
      <c r="D196">
        <v>220</v>
      </c>
      <c r="G196">
        <v>0</v>
      </c>
      <c r="H196">
        <v>0</v>
      </c>
      <c r="I196">
        <v>0</v>
      </c>
      <c r="J196" s="2" t="s">
        <v>15</v>
      </c>
    </row>
    <row r="197" spans="1:10" x14ac:dyDescent="0.2">
      <c r="A197">
        <v>196</v>
      </c>
      <c r="B197" s="2" t="s">
        <v>13</v>
      </c>
      <c r="C197" s="2" t="s">
        <v>14</v>
      </c>
      <c r="D197">
        <v>3850</v>
      </c>
      <c r="E197">
        <v>11</v>
      </c>
      <c r="F197">
        <v>2005</v>
      </c>
      <c r="G197">
        <v>1</v>
      </c>
      <c r="H197">
        <v>14</v>
      </c>
      <c r="I197">
        <v>2011</v>
      </c>
      <c r="J197" s="2" t="s">
        <v>16</v>
      </c>
    </row>
    <row r="198" spans="1:10" x14ac:dyDescent="0.2">
      <c r="A198">
        <v>197</v>
      </c>
      <c r="B198" s="2" t="s">
        <v>13</v>
      </c>
      <c r="C198" s="2" t="s">
        <v>14</v>
      </c>
      <c r="D198">
        <v>4210</v>
      </c>
      <c r="E198">
        <v>3</v>
      </c>
      <c r="F198">
        <v>2015</v>
      </c>
      <c r="G198">
        <v>0</v>
      </c>
      <c r="H198">
        <v>0</v>
      </c>
      <c r="I198">
        <v>0</v>
      </c>
      <c r="J198" s="2" t="s">
        <v>15</v>
      </c>
    </row>
    <row r="199" spans="1:10" x14ac:dyDescent="0.2">
      <c r="A199">
        <v>198</v>
      </c>
      <c r="B199" s="2" t="s">
        <v>14</v>
      </c>
      <c r="C199" s="2" t="s">
        <v>14</v>
      </c>
      <c r="D199">
        <v>290</v>
      </c>
      <c r="E199">
        <v>9</v>
      </c>
      <c r="F199">
        <v>2002</v>
      </c>
      <c r="G199">
        <v>1</v>
      </c>
      <c r="H199">
        <v>13</v>
      </c>
      <c r="I199">
        <v>2010</v>
      </c>
      <c r="J199" s="2" t="s">
        <v>16</v>
      </c>
    </row>
    <row r="200" spans="1:10" x14ac:dyDescent="0.2">
      <c r="A200">
        <v>199</v>
      </c>
      <c r="B200" s="2" t="s">
        <v>17</v>
      </c>
      <c r="C200" s="2" t="s">
        <v>13</v>
      </c>
      <c r="D200">
        <v>6360</v>
      </c>
      <c r="E200">
        <v>12</v>
      </c>
      <c r="F200">
        <v>2010</v>
      </c>
      <c r="G200">
        <v>1</v>
      </c>
      <c r="H200">
        <v>14</v>
      </c>
      <c r="I200">
        <v>2012</v>
      </c>
      <c r="J200" s="2" t="s">
        <v>19</v>
      </c>
    </row>
    <row r="201" spans="1:10" x14ac:dyDescent="0.2">
      <c r="A201">
        <v>200</v>
      </c>
      <c r="B201" s="2" t="s">
        <v>14</v>
      </c>
      <c r="C201" s="2" t="s">
        <v>14</v>
      </c>
      <c r="D201">
        <v>1650</v>
      </c>
      <c r="E201">
        <v>10</v>
      </c>
      <c r="F201">
        <v>2000</v>
      </c>
      <c r="G201">
        <v>0</v>
      </c>
      <c r="H201">
        <v>0</v>
      </c>
      <c r="I201">
        <v>0</v>
      </c>
      <c r="J201" s="2" t="s">
        <v>15</v>
      </c>
    </row>
    <row r="202" spans="1:10" x14ac:dyDescent="0.2">
      <c r="A202">
        <v>201</v>
      </c>
      <c r="B202" s="2" t="s">
        <v>17</v>
      </c>
      <c r="C202" s="2" t="s">
        <v>14</v>
      </c>
      <c r="D202">
        <v>20260</v>
      </c>
      <c r="G202">
        <v>1</v>
      </c>
      <c r="H202">
        <v>18</v>
      </c>
      <c r="I202">
        <v>2014</v>
      </c>
      <c r="J202" s="2" t="s">
        <v>19</v>
      </c>
    </row>
    <row r="203" spans="1:10" x14ac:dyDescent="0.2">
      <c r="A203">
        <v>202</v>
      </c>
      <c r="B203" s="2" t="s">
        <v>17</v>
      </c>
      <c r="C203" s="2" t="s">
        <v>13</v>
      </c>
      <c r="D203">
        <v>5140</v>
      </c>
      <c r="E203">
        <v>5</v>
      </c>
      <c r="F203">
        <v>2010</v>
      </c>
      <c r="G203">
        <v>0</v>
      </c>
      <c r="H203">
        <v>0</v>
      </c>
      <c r="I203">
        <v>0</v>
      </c>
      <c r="J203" s="2" t="s">
        <v>15</v>
      </c>
    </row>
    <row r="204" spans="1:10" x14ac:dyDescent="0.2">
      <c r="A204">
        <v>203</v>
      </c>
      <c r="B204" s="2" t="s">
        <v>13</v>
      </c>
      <c r="C204" s="2" t="s">
        <v>13</v>
      </c>
      <c r="D204">
        <v>490</v>
      </c>
      <c r="E204">
        <v>11</v>
      </c>
      <c r="F204">
        <v>2002</v>
      </c>
      <c r="G204">
        <v>0</v>
      </c>
      <c r="H204">
        <v>0</v>
      </c>
      <c r="I204">
        <v>0</v>
      </c>
      <c r="J204" s="2" t="s">
        <v>15</v>
      </c>
    </row>
    <row r="205" spans="1:10" x14ac:dyDescent="0.2">
      <c r="A205">
        <v>204</v>
      </c>
      <c r="B205" s="2" t="s">
        <v>14</v>
      </c>
      <c r="C205" s="2" t="s">
        <v>14</v>
      </c>
      <c r="D205">
        <v>5630</v>
      </c>
      <c r="E205">
        <v>12</v>
      </c>
      <c r="F205">
        <v>2002</v>
      </c>
      <c r="G205">
        <v>1</v>
      </c>
      <c r="H205">
        <v>40</v>
      </c>
      <c r="I205">
        <v>2014</v>
      </c>
      <c r="J205" s="2" t="s">
        <v>16</v>
      </c>
    </row>
    <row r="206" spans="1:10" x14ac:dyDescent="0.2">
      <c r="A206">
        <v>205</v>
      </c>
      <c r="B206" s="2" t="s">
        <v>14</v>
      </c>
      <c r="C206" s="2" t="s">
        <v>14</v>
      </c>
      <c r="D206">
        <v>110</v>
      </c>
      <c r="E206">
        <v>12</v>
      </c>
      <c r="F206">
        <v>2007</v>
      </c>
      <c r="G206">
        <v>0</v>
      </c>
      <c r="H206">
        <v>0</v>
      </c>
      <c r="I206">
        <v>0</v>
      </c>
      <c r="J206" s="2" t="s">
        <v>15</v>
      </c>
    </row>
    <row r="207" spans="1:10" x14ac:dyDescent="0.2">
      <c r="A207">
        <v>206</v>
      </c>
      <c r="B207" s="2" t="s">
        <v>14</v>
      </c>
      <c r="C207" s="2" t="s">
        <v>13</v>
      </c>
      <c r="D207">
        <v>380</v>
      </c>
      <c r="G207">
        <v>1</v>
      </c>
      <c r="H207">
        <v>14</v>
      </c>
      <c r="I207">
        <v>2012</v>
      </c>
      <c r="J207" s="2" t="s">
        <v>16</v>
      </c>
    </row>
    <row r="208" spans="1:10" x14ac:dyDescent="0.2">
      <c r="A208">
        <v>207</v>
      </c>
      <c r="B208" s="2" t="s">
        <v>14</v>
      </c>
      <c r="C208" s="2" t="s">
        <v>14</v>
      </c>
      <c r="D208">
        <v>6870</v>
      </c>
      <c r="G208">
        <v>0</v>
      </c>
      <c r="H208">
        <v>0</v>
      </c>
      <c r="I208">
        <v>0</v>
      </c>
      <c r="J208" s="2" t="s">
        <v>15</v>
      </c>
    </row>
    <row r="209" spans="1:10" x14ac:dyDescent="0.2">
      <c r="A209">
        <v>208</v>
      </c>
      <c r="B209" s="2" t="s">
        <v>13</v>
      </c>
      <c r="C209" s="2" t="s">
        <v>14</v>
      </c>
      <c r="D209">
        <v>300</v>
      </c>
      <c r="E209">
        <v>4</v>
      </c>
      <c r="F209">
        <v>2006</v>
      </c>
      <c r="G209">
        <v>0</v>
      </c>
      <c r="H209">
        <v>0</v>
      </c>
      <c r="I209">
        <v>0</v>
      </c>
      <c r="J209" s="2" t="s">
        <v>15</v>
      </c>
    </row>
    <row r="210" spans="1:10" x14ac:dyDescent="0.2">
      <c r="A210">
        <v>209</v>
      </c>
      <c r="B210" s="2" t="s">
        <v>14</v>
      </c>
      <c r="C210" s="2" t="s">
        <v>13</v>
      </c>
      <c r="D210">
        <v>11680</v>
      </c>
      <c r="E210">
        <v>9</v>
      </c>
      <c r="F210">
        <v>2011</v>
      </c>
      <c r="G210">
        <v>1</v>
      </c>
      <c r="H210">
        <v>31</v>
      </c>
      <c r="I210">
        <v>2013</v>
      </c>
      <c r="J210" s="2" t="s">
        <v>16</v>
      </c>
    </row>
    <row r="211" spans="1:10" x14ac:dyDescent="0.2">
      <c r="A211">
        <v>210</v>
      </c>
      <c r="B211" s="2" t="s">
        <v>17</v>
      </c>
      <c r="C211" s="2" t="s">
        <v>14</v>
      </c>
      <c r="D211">
        <v>970</v>
      </c>
      <c r="E211">
        <v>11</v>
      </c>
      <c r="F211">
        <v>1999</v>
      </c>
      <c r="G211">
        <v>1</v>
      </c>
      <c r="H211">
        <v>5</v>
      </c>
      <c r="I211">
        <v>2013</v>
      </c>
      <c r="J211" s="2" t="s">
        <v>18</v>
      </c>
    </row>
    <row r="212" spans="1:10" x14ac:dyDescent="0.2">
      <c r="A212">
        <v>211</v>
      </c>
      <c r="B212" s="2" t="s">
        <v>14</v>
      </c>
      <c r="C212" s="2" t="s">
        <v>13</v>
      </c>
      <c r="D212">
        <v>350</v>
      </c>
      <c r="E212">
        <v>11</v>
      </c>
      <c r="F212">
        <v>2006</v>
      </c>
      <c r="G212">
        <v>0</v>
      </c>
      <c r="H212">
        <v>0</v>
      </c>
      <c r="I212">
        <v>0</v>
      </c>
      <c r="J212" s="2" t="s">
        <v>15</v>
      </c>
    </row>
    <row r="213" spans="1:10" x14ac:dyDescent="0.2">
      <c r="A213">
        <v>212</v>
      </c>
      <c r="B213" s="2" t="s">
        <v>14</v>
      </c>
      <c r="C213" s="2" t="s">
        <v>13</v>
      </c>
      <c r="D213">
        <v>15050</v>
      </c>
      <c r="E213">
        <v>9</v>
      </c>
      <c r="F213">
        <v>2008</v>
      </c>
      <c r="G213">
        <v>0</v>
      </c>
      <c r="H213">
        <v>0</v>
      </c>
      <c r="I213">
        <v>0</v>
      </c>
      <c r="J213" s="2" t="s">
        <v>15</v>
      </c>
    </row>
    <row r="214" spans="1:10" x14ac:dyDescent="0.2">
      <c r="A214">
        <v>213</v>
      </c>
      <c r="B214" s="2" t="s">
        <v>17</v>
      </c>
      <c r="C214" s="2" t="s">
        <v>13</v>
      </c>
      <c r="D214">
        <v>4030</v>
      </c>
      <c r="E214">
        <v>3</v>
      </c>
      <c r="F214">
        <v>2014</v>
      </c>
      <c r="G214">
        <v>1</v>
      </c>
      <c r="H214">
        <v>1</v>
      </c>
      <c r="I214">
        <v>2014</v>
      </c>
      <c r="J214" s="2" t="s">
        <v>16</v>
      </c>
    </row>
    <row r="215" spans="1:10" x14ac:dyDescent="0.2">
      <c r="A215">
        <v>214</v>
      </c>
      <c r="B215" s="2" t="s">
        <v>17</v>
      </c>
      <c r="C215" s="2" t="s">
        <v>14</v>
      </c>
      <c r="D215">
        <v>8650</v>
      </c>
      <c r="E215">
        <v>7</v>
      </c>
      <c r="F215">
        <v>2013</v>
      </c>
      <c r="G215">
        <v>1</v>
      </c>
      <c r="H215">
        <v>10</v>
      </c>
      <c r="I215">
        <v>2014</v>
      </c>
      <c r="J215" s="2" t="s">
        <v>16</v>
      </c>
    </row>
    <row r="216" spans="1:10" x14ac:dyDescent="0.2">
      <c r="A216">
        <v>215</v>
      </c>
      <c r="B216" s="2" t="s">
        <v>17</v>
      </c>
      <c r="C216" s="2" t="s">
        <v>14</v>
      </c>
      <c r="D216">
        <v>150</v>
      </c>
      <c r="G216">
        <v>1</v>
      </c>
      <c r="H216">
        <v>45</v>
      </c>
      <c r="I216">
        <v>2009</v>
      </c>
      <c r="J216" s="2" t="s">
        <v>18</v>
      </c>
    </row>
    <row r="217" spans="1:10" x14ac:dyDescent="0.2">
      <c r="A217">
        <v>216</v>
      </c>
      <c r="B217" s="2" t="s">
        <v>13</v>
      </c>
      <c r="C217" s="2" t="s">
        <v>14</v>
      </c>
      <c r="D217">
        <v>190</v>
      </c>
      <c r="G217">
        <v>1</v>
      </c>
      <c r="H217">
        <v>45</v>
      </c>
      <c r="I217">
        <v>2009</v>
      </c>
      <c r="J217" s="2" t="s">
        <v>18</v>
      </c>
    </row>
    <row r="218" spans="1:10" x14ac:dyDescent="0.2">
      <c r="A218">
        <v>217</v>
      </c>
      <c r="B218" s="2" t="s">
        <v>13</v>
      </c>
      <c r="C218" s="2" t="s">
        <v>14</v>
      </c>
      <c r="D218">
        <v>3150</v>
      </c>
      <c r="G218">
        <v>0</v>
      </c>
      <c r="H218">
        <v>0</v>
      </c>
      <c r="I218">
        <v>0</v>
      </c>
      <c r="J218" s="2" t="s">
        <v>15</v>
      </c>
    </row>
    <row r="219" spans="1:10" x14ac:dyDescent="0.2">
      <c r="A219">
        <v>218</v>
      </c>
      <c r="B219" s="2" t="s">
        <v>14</v>
      </c>
      <c r="C219" s="2" t="s">
        <v>13</v>
      </c>
      <c r="D219">
        <v>640</v>
      </c>
      <c r="G219">
        <v>1</v>
      </c>
      <c r="H219">
        <v>9</v>
      </c>
      <c r="I219">
        <v>2011</v>
      </c>
      <c r="J219" s="2" t="s">
        <v>19</v>
      </c>
    </row>
    <row r="220" spans="1:10" x14ac:dyDescent="0.2">
      <c r="A220">
        <v>219</v>
      </c>
      <c r="B220" s="2" t="s">
        <v>14</v>
      </c>
      <c r="C220" s="2" t="s">
        <v>14</v>
      </c>
      <c r="D220">
        <v>1640</v>
      </c>
      <c r="E220">
        <v>2</v>
      </c>
      <c r="F220">
        <v>2013</v>
      </c>
      <c r="G220">
        <v>0</v>
      </c>
      <c r="H220">
        <v>0</v>
      </c>
      <c r="I220">
        <v>0</v>
      </c>
      <c r="J220" s="2" t="s">
        <v>15</v>
      </c>
    </row>
    <row r="221" spans="1:10" x14ac:dyDescent="0.2">
      <c r="A221">
        <v>220</v>
      </c>
      <c r="B221" s="2" t="s">
        <v>14</v>
      </c>
      <c r="C221" s="2" t="s">
        <v>14</v>
      </c>
      <c r="D221">
        <v>1000</v>
      </c>
      <c r="E221">
        <v>9</v>
      </c>
      <c r="F221">
        <v>2008</v>
      </c>
      <c r="G221">
        <v>0</v>
      </c>
      <c r="H221">
        <v>0</v>
      </c>
      <c r="I221">
        <v>0</v>
      </c>
      <c r="J221" s="2" t="s">
        <v>15</v>
      </c>
    </row>
    <row r="222" spans="1:10" x14ac:dyDescent="0.2">
      <c r="A222">
        <v>221</v>
      </c>
      <c r="B222" s="2" t="s">
        <v>17</v>
      </c>
      <c r="C222" s="2" t="s">
        <v>13</v>
      </c>
      <c r="D222">
        <v>13530</v>
      </c>
      <c r="E222">
        <v>9</v>
      </c>
      <c r="F222">
        <v>2013</v>
      </c>
      <c r="G222">
        <v>0</v>
      </c>
      <c r="H222">
        <v>0</v>
      </c>
      <c r="I222">
        <v>0</v>
      </c>
      <c r="J222" s="2" t="s">
        <v>15</v>
      </c>
    </row>
    <row r="223" spans="1:10" x14ac:dyDescent="0.2">
      <c r="A223">
        <v>222</v>
      </c>
      <c r="B223" s="2" t="s">
        <v>14</v>
      </c>
      <c r="C223" s="2" t="s">
        <v>14</v>
      </c>
      <c r="D223">
        <v>2170</v>
      </c>
      <c r="E223">
        <v>11</v>
      </c>
      <c r="F223">
        <v>2008</v>
      </c>
      <c r="G223">
        <v>0</v>
      </c>
      <c r="H223">
        <v>0</v>
      </c>
      <c r="I223">
        <v>0</v>
      </c>
      <c r="J223" s="2" t="s">
        <v>15</v>
      </c>
    </row>
    <row r="224" spans="1:10" x14ac:dyDescent="0.2">
      <c r="A224">
        <v>223</v>
      </c>
      <c r="B224" s="2" t="s">
        <v>17</v>
      </c>
      <c r="C224" s="2" t="s">
        <v>13</v>
      </c>
      <c r="D224">
        <v>2920</v>
      </c>
      <c r="E224">
        <v>10</v>
      </c>
      <c r="F224">
        <v>1995</v>
      </c>
      <c r="G224">
        <v>1</v>
      </c>
      <c r="H224">
        <v>27</v>
      </c>
      <c r="I224">
        <v>2011</v>
      </c>
      <c r="J224" s="2" t="s">
        <v>16</v>
      </c>
    </row>
    <row r="225" spans="1:10" x14ac:dyDescent="0.2">
      <c r="A225">
        <v>224</v>
      </c>
      <c r="B225" s="2" t="s">
        <v>17</v>
      </c>
      <c r="C225" s="2" t="s">
        <v>13</v>
      </c>
      <c r="D225">
        <v>7930</v>
      </c>
      <c r="G225">
        <v>1</v>
      </c>
      <c r="H225">
        <v>1</v>
      </c>
      <c r="I225">
        <v>2013</v>
      </c>
      <c r="J225" s="2" t="s">
        <v>16</v>
      </c>
    </row>
    <row r="226" spans="1:10" x14ac:dyDescent="0.2">
      <c r="A226">
        <v>225</v>
      </c>
      <c r="B226" s="2" t="s">
        <v>17</v>
      </c>
      <c r="C226" s="2" t="s">
        <v>14</v>
      </c>
      <c r="D226">
        <v>10180</v>
      </c>
      <c r="E226">
        <v>5</v>
      </c>
      <c r="F226">
        <v>2015</v>
      </c>
      <c r="G226">
        <v>0</v>
      </c>
      <c r="H226">
        <v>0</v>
      </c>
      <c r="I226">
        <v>0</v>
      </c>
      <c r="J226" s="2" t="s">
        <v>15</v>
      </c>
    </row>
    <row r="227" spans="1:10" x14ac:dyDescent="0.2">
      <c r="A227">
        <v>226</v>
      </c>
      <c r="B227" s="2" t="s">
        <v>14</v>
      </c>
      <c r="C227" s="2" t="s">
        <v>14</v>
      </c>
      <c r="D227">
        <v>450</v>
      </c>
      <c r="G227">
        <v>0</v>
      </c>
      <c r="H227">
        <v>0</v>
      </c>
      <c r="I227">
        <v>0</v>
      </c>
      <c r="J227" s="2" t="s">
        <v>15</v>
      </c>
    </row>
    <row r="228" spans="1:10" x14ac:dyDescent="0.2">
      <c r="A228">
        <v>227</v>
      </c>
      <c r="B228" s="2" t="s">
        <v>14</v>
      </c>
      <c r="C228" s="2" t="s">
        <v>14</v>
      </c>
      <c r="D228">
        <v>2370</v>
      </c>
      <c r="G228">
        <v>0</v>
      </c>
      <c r="H228">
        <v>0</v>
      </c>
      <c r="I228">
        <v>0</v>
      </c>
      <c r="J228" s="2" t="s">
        <v>15</v>
      </c>
    </row>
    <row r="229" spans="1:10" x14ac:dyDescent="0.2">
      <c r="A229">
        <v>228</v>
      </c>
      <c r="B229" s="2" t="s">
        <v>17</v>
      </c>
      <c r="C229" s="2" t="s">
        <v>13</v>
      </c>
      <c r="D229">
        <v>10800</v>
      </c>
      <c r="G229">
        <v>1</v>
      </c>
      <c r="H229">
        <v>18</v>
      </c>
      <c r="I229">
        <v>2011</v>
      </c>
      <c r="J229" s="2" t="s">
        <v>18</v>
      </c>
    </row>
    <row r="230" spans="1:10" x14ac:dyDescent="0.2">
      <c r="A230">
        <v>229</v>
      </c>
      <c r="B230" s="2" t="s">
        <v>17</v>
      </c>
      <c r="C230" s="2" t="s">
        <v>13</v>
      </c>
      <c r="D230">
        <v>17410</v>
      </c>
      <c r="E230">
        <v>4</v>
      </c>
      <c r="F230">
        <v>2007</v>
      </c>
      <c r="G230">
        <v>1</v>
      </c>
      <c r="H230">
        <v>14</v>
      </c>
      <c r="I230">
        <v>2011</v>
      </c>
      <c r="J230" s="2" t="s">
        <v>16</v>
      </c>
    </row>
    <row r="231" spans="1:10" x14ac:dyDescent="0.2">
      <c r="A231">
        <v>230</v>
      </c>
      <c r="B231" s="2" t="s">
        <v>17</v>
      </c>
      <c r="C231" s="2" t="s">
        <v>13</v>
      </c>
      <c r="D231">
        <v>6680</v>
      </c>
      <c r="E231">
        <v>9</v>
      </c>
      <c r="F231">
        <v>2013</v>
      </c>
      <c r="G231">
        <v>0</v>
      </c>
      <c r="H231">
        <v>0</v>
      </c>
      <c r="I231">
        <v>0</v>
      </c>
      <c r="J231" s="2" t="s">
        <v>15</v>
      </c>
    </row>
    <row r="232" spans="1:10" x14ac:dyDescent="0.2">
      <c r="A232">
        <v>231</v>
      </c>
      <c r="B232" s="2" t="s">
        <v>17</v>
      </c>
      <c r="C232" s="2" t="s">
        <v>13</v>
      </c>
      <c r="D232">
        <v>3840</v>
      </c>
      <c r="E232">
        <v>10</v>
      </c>
      <c r="F232">
        <v>2008</v>
      </c>
      <c r="G232">
        <v>1</v>
      </c>
      <c r="H232">
        <v>39</v>
      </c>
      <c r="I232">
        <v>2010</v>
      </c>
      <c r="J232" s="2" t="s">
        <v>18</v>
      </c>
    </row>
    <row r="233" spans="1:10" x14ac:dyDescent="0.2">
      <c r="A233">
        <v>232</v>
      </c>
      <c r="B233" s="2" t="s">
        <v>13</v>
      </c>
      <c r="C233" s="2" t="s">
        <v>13</v>
      </c>
      <c r="D233">
        <v>13570</v>
      </c>
      <c r="E233">
        <v>5</v>
      </c>
      <c r="F233">
        <v>2010</v>
      </c>
      <c r="G233">
        <v>1</v>
      </c>
      <c r="H233">
        <v>10</v>
      </c>
      <c r="I233">
        <v>2013</v>
      </c>
      <c r="J233" s="2" t="s">
        <v>19</v>
      </c>
    </row>
    <row r="234" spans="1:10" x14ac:dyDescent="0.2">
      <c r="A234">
        <v>233</v>
      </c>
      <c r="B234" s="2" t="s">
        <v>14</v>
      </c>
      <c r="C234" s="2" t="s">
        <v>14</v>
      </c>
      <c r="D234">
        <v>1890</v>
      </c>
      <c r="G234">
        <v>0</v>
      </c>
      <c r="H234">
        <v>0</v>
      </c>
      <c r="I234">
        <v>0</v>
      </c>
      <c r="J234" s="2" t="s">
        <v>15</v>
      </c>
    </row>
    <row r="235" spans="1:10" x14ac:dyDescent="0.2">
      <c r="A235">
        <v>234</v>
      </c>
      <c r="B235" s="2" t="s">
        <v>17</v>
      </c>
      <c r="C235" s="2" t="s">
        <v>14</v>
      </c>
      <c r="D235">
        <v>4370</v>
      </c>
      <c r="G235">
        <v>0</v>
      </c>
      <c r="H235">
        <v>0</v>
      </c>
      <c r="I235">
        <v>0</v>
      </c>
      <c r="J235" s="2" t="s">
        <v>15</v>
      </c>
    </row>
    <row r="236" spans="1:10" x14ac:dyDescent="0.2">
      <c r="A236">
        <v>235</v>
      </c>
      <c r="B236" s="2" t="s">
        <v>14</v>
      </c>
      <c r="C236" s="2" t="s">
        <v>14</v>
      </c>
      <c r="D236">
        <v>5710</v>
      </c>
      <c r="E236">
        <v>3</v>
      </c>
      <c r="F236">
        <v>2012</v>
      </c>
      <c r="G236">
        <v>1</v>
      </c>
      <c r="H236">
        <v>37</v>
      </c>
      <c r="I236">
        <v>2009</v>
      </c>
      <c r="J236" s="2" t="s">
        <v>16</v>
      </c>
    </row>
    <row r="237" spans="1:10" x14ac:dyDescent="0.2">
      <c r="A237">
        <v>236</v>
      </c>
      <c r="B237" s="2" t="s">
        <v>14</v>
      </c>
      <c r="C237" s="2" t="s">
        <v>14</v>
      </c>
      <c r="D237">
        <v>1000</v>
      </c>
      <c r="E237">
        <v>11</v>
      </c>
      <c r="F237">
        <v>2007</v>
      </c>
      <c r="G237">
        <v>0</v>
      </c>
      <c r="H237">
        <v>0</v>
      </c>
      <c r="I237">
        <v>0</v>
      </c>
      <c r="J237" s="2" t="s">
        <v>15</v>
      </c>
    </row>
    <row r="238" spans="1:10" x14ac:dyDescent="0.2">
      <c r="A238">
        <v>237</v>
      </c>
      <c r="B238" s="2" t="s">
        <v>14</v>
      </c>
      <c r="C238" s="2" t="s">
        <v>14</v>
      </c>
      <c r="D238">
        <v>1420</v>
      </c>
      <c r="E238">
        <v>11</v>
      </c>
      <c r="F238">
        <v>2007</v>
      </c>
      <c r="G238">
        <v>0</v>
      </c>
      <c r="H238">
        <v>0</v>
      </c>
      <c r="I238">
        <v>0</v>
      </c>
      <c r="J238" s="2" t="s">
        <v>15</v>
      </c>
    </row>
    <row r="239" spans="1:10" x14ac:dyDescent="0.2">
      <c r="A239">
        <v>238</v>
      </c>
      <c r="B239" s="2" t="s">
        <v>14</v>
      </c>
      <c r="C239" s="2" t="s">
        <v>14</v>
      </c>
      <c r="D239">
        <v>320</v>
      </c>
      <c r="G239">
        <v>1</v>
      </c>
      <c r="H239">
        <v>45</v>
      </c>
      <c r="I239">
        <v>2009</v>
      </c>
      <c r="J239" s="2" t="s">
        <v>18</v>
      </c>
    </row>
    <row r="240" spans="1:10" x14ac:dyDescent="0.2">
      <c r="A240">
        <v>239</v>
      </c>
      <c r="B240" s="2" t="s">
        <v>17</v>
      </c>
      <c r="C240" s="2" t="s">
        <v>13</v>
      </c>
      <c r="D240">
        <v>610</v>
      </c>
      <c r="G240">
        <v>0</v>
      </c>
      <c r="H240">
        <v>0</v>
      </c>
      <c r="I240">
        <v>0</v>
      </c>
      <c r="J240" s="2" t="s">
        <v>15</v>
      </c>
    </row>
    <row r="241" spans="1:10" x14ac:dyDescent="0.2">
      <c r="A241">
        <v>240</v>
      </c>
      <c r="B241" s="2" t="s">
        <v>14</v>
      </c>
      <c r="C241" s="2" t="s">
        <v>14</v>
      </c>
      <c r="D241">
        <v>1110</v>
      </c>
      <c r="E241">
        <v>5</v>
      </c>
      <c r="F241">
        <v>2009</v>
      </c>
      <c r="G241">
        <v>0</v>
      </c>
      <c r="H241">
        <v>0</v>
      </c>
      <c r="I241">
        <v>0</v>
      </c>
      <c r="J241" s="2" t="s">
        <v>15</v>
      </c>
    </row>
    <row r="242" spans="1:10" x14ac:dyDescent="0.2">
      <c r="A242">
        <v>241</v>
      </c>
      <c r="B242" s="2" t="s">
        <v>17</v>
      </c>
      <c r="C242" s="2" t="s">
        <v>13</v>
      </c>
      <c r="D242">
        <v>780</v>
      </c>
      <c r="G242">
        <v>0</v>
      </c>
      <c r="H242">
        <v>0</v>
      </c>
      <c r="I242">
        <v>0</v>
      </c>
      <c r="J242" s="2" t="s">
        <v>15</v>
      </c>
    </row>
    <row r="243" spans="1:10" x14ac:dyDescent="0.2">
      <c r="A243">
        <v>242</v>
      </c>
      <c r="B243" s="2" t="s">
        <v>17</v>
      </c>
      <c r="C243" s="2" t="s">
        <v>14</v>
      </c>
      <c r="D243">
        <v>6880</v>
      </c>
      <c r="E243">
        <v>9</v>
      </c>
      <c r="F243">
        <v>2001</v>
      </c>
      <c r="G243">
        <v>1</v>
      </c>
      <c r="H243">
        <v>14</v>
      </c>
      <c r="I243">
        <v>2011</v>
      </c>
      <c r="J243" s="2" t="s">
        <v>16</v>
      </c>
    </row>
    <row r="244" spans="1:10" x14ac:dyDescent="0.2">
      <c r="A244">
        <v>243</v>
      </c>
      <c r="B244" s="2" t="s">
        <v>14</v>
      </c>
      <c r="C244" s="2" t="s">
        <v>14</v>
      </c>
      <c r="D244">
        <v>310</v>
      </c>
      <c r="G244">
        <v>1</v>
      </c>
      <c r="H244">
        <v>5</v>
      </c>
      <c r="I244">
        <v>2013</v>
      </c>
      <c r="J244" s="2" t="s">
        <v>18</v>
      </c>
    </row>
    <row r="245" spans="1:10" x14ac:dyDescent="0.2">
      <c r="A245">
        <v>244</v>
      </c>
      <c r="B245" s="2" t="s">
        <v>17</v>
      </c>
      <c r="C245" s="2" t="s">
        <v>14</v>
      </c>
      <c r="D245">
        <v>710</v>
      </c>
      <c r="E245">
        <v>3</v>
      </c>
      <c r="F245">
        <v>2012</v>
      </c>
      <c r="G245">
        <v>1</v>
      </c>
      <c r="H245">
        <v>1</v>
      </c>
      <c r="I245">
        <v>2012</v>
      </c>
      <c r="J245" s="2" t="s">
        <v>16</v>
      </c>
    </row>
    <row r="246" spans="1:10" x14ac:dyDescent="0.2">
      <c r="A246">
        <v>245</v>
      </c>
      <c r="B246" s="2" t="s">
        <v>14</v>
      </c>
      <c r="C246" s="2" t="s">
        <v>13</v>
      </c>
      <c r="D246">
        <v>1310</v>
      </c>
      <c r="G246">
        <v>0</v>
      </c>
      <c r="H246">
        <v>0</v>
      </c>
      <c r="I246">
        <v>0</v>
      </c>
      <c r="J246" s="2" t="s">
        <v>15</v>
      </c>
    </row>
    <row r="247" spans="1:10" x14ac:dyDescent="0.2">
      <c r="A247">
        <v>246</v>
      </c>
      <c r="B247" s="2" t="s">
        <v>13</v>
      </c>
      <c r="C247" s="2" t="s">
        <v>14</v>
      </c>
      <c r="D247">
        <v>4660</v>
      </c>
      <c r="E247">
        <v>4</v>
      </c>
      <c r="F247">
        <v>2013</v>
      </c>
      <c r="G247">
        <v>0</v>
      </c>
      <c r="H247">
        <v>0</v>
      </c>
      <c r="I247">
        <v>0</v>
      </c>
      <c r="J247" s="2" t="s">
        <v>15</v>
      </c>
    </row>
    <row r="248" spans="1:10" x14ac:dyDescent="0.2">
      <c r="A248">
        <v>247</v>
      </c>
      <c r="B248" s="2" t="s">
        <v>17</v>
      </c>
      <c r="C248" s="2" t="s">
        <v>13</v>
      </c>
      <c r="D248">
        <v>70</v>
      </c>
      <c r="E248">
        <v>11</v>
      </c>
      <c r="F248">
        <v>2010</v>
      </c>
      <c r="G248">
        <v>1</v>
      </c>
      <c r="H248">
        <v>5</v>
      </c>
      <c r="I248">
        <v>2013</v>
      </c>
      <c r="J248" s="2" t="s">
        <v>18</v>
      </c>
    </row>
    <row r="249" spans="1:10" x14ac:dyDescent="0.2">
      <c r="A249">
        <v>248</v>
      </c>
      <c r="B249" s="2" t="s">
        <v>14</v>
      </c>
      <c r="C249" s="2" t="s">
        <v>13</v>
      </c>
      <c r="D249">
        <v>340</v>
      </c>
      <c r="E249">
        <v>9</v>
      </c>
      <c r="F249">
        <v>2012</v>
      </c>
      <c r="G249">
        <v>1</v>
      </c>
      <c r="H249">
        <v>40</v>
      </c>
      <c r="I249">
        <v>2012</v>
      </c>
      <c r="J249" s="2" t="s">
        <v>16</v>
      </c>
    </row>
    <row r="250" spans="1:10" x14ac:dyDescent="0.2">
      <c r="A250">
        <v>249</v>
      </c>
      <c r="B250" s="2" t="s">
        <v>17</v>
      </c>
      <c r="C250" s="2" t="s">
        <v>13</v>
      </c>
      <c r="D250">
        <v>18010</v>
      </c>
      <c r="E250">
        <v>9</v>
      </c>
      <c r="F250">
        <v>2014</v>
      </c>
      <c r="G250">
        <v>0</v>
      </c>
      <c r="H250">
        <v>0</v>
      </c>
      <c r="I250">
        <v>0</v>
      </c>
      <c r="J250" s="2" t="s">
        <v>15</v>
      </c>
    </row>
    <row r="251" spans="1:10" x14ac:dyDescent="0.2">
      <c r="A251">
        <v>250</v>
      </c>
      <c r="B251" s="2" t="s">
        <v>17</v>
      </c>
      <c r="C251" s="2" t="s">
        <v>14</v>
      </c>
      <c r="D251">
        <v>3520</v>
      </c>
      <c r="G251">
        <v>1</v>
      </c>
      <c r="H251">
        <v>18</v>
      </c>
      <c r="I251">
        <v>2012</v>
      </c>
      <c r="J251" s="2" t="s">
        <v>18</v>
      </c>
    </row>
    <row r="252" spans="1:10" x14ac:dyDescent="0.2">
      <c r="A252">
        <v>251</v>
      </c>
      <c r="B252" s="2" t="s">
        <v>14</v>
      </c>
      <c r="C252" s="2" t="s">
        <v>13</v>
      </c>
      <c r="D252">
        <v>340</v>
      </c>
      <c r="G252">
        <v>0</v>
      </c>
      <c r="H252">
        <v>0</v>
      </c>
      <c r="I252">
        <v>0</v>
      </c>
      <c r="J252" s="2" t="s">
        <v>15</v>
      </c>
    </row>
    <row r="253" spans="1:10" x14ac:dyDescent="0.2">
      <c r="A253">
        <v>252</v>
      </c>
      <c r="B253" s="2" t="s">
        <v>17</v>
      </c>
      <c r="C253" s="2" t="s">
        <v>13</v>
      </c>
      <c r="D253">
        <v>22330</v>
      </c>
      <c r="G253">
        <v>1</v>
      </c>
      <c r="H253">
        <v>5</v>
      </c>
      <c r="I253">
        <v>2010</v>
      </c>
      <c r="J253" s="2" t="s">
        <v>18</v>
      </c>
    </row>
    <row r="254" spans="1:10" x14ac:dyDescent="0.2">
      <c r="A254">
        <v>253</v>
      </c>
      <c r="B254" s="2" t="s">
        <v>14</v>
      </c>
      <c r="C254" s="2" t="s">
        <v>13</v>
      </c>
      <c r="D254">
        <v>250</v>
      </c>
      <c r="G254">
        <v>1</v>
      </c>
      <c r="H254">
        <v>5</v>
      </c>
      <c r="I254">
        <v>2013</v>
      </c>
      <c r="J254" s="2" t="s">
        <v>18</v>
      </c>
    </row>
    <row r="255" spans="1:10" x14ac:dyDescent="0.2">
      <c r="A255">
        <v>254</v>
      </c>
      <c r="B255" s="2" t="s">
        <v>17</v>
      </c>
      <c r="C255" s="2" t="s">
        <v>14</v>
      </c>
      <c r="D255">
        <v>330</v>
      </c>
      <c r="E255">
        <v>3</v>
      </c>
      <c r="F255">
        <v>2008</v>
      </c>
      <c r="G255">
        <v>1</v>
      </c>
      <c r="H255">
        <v>1</v>
      </c>
      <c r="I255">
        <v>2012</v>
      </c>
      <c r="J255" s="2" t="s">
        <v>19</v>
      </c>
    </row>
    <row r="256" spans="1:10" x14ac:dyDescent="0.2">
      <c r="A256">
        <v>255</v>
      </c>
      <c r="B256" s="2" t="s">
        <v>13</v>
      </c>
      <c r="C256" s="2" t="s">
        <v>13</v>
      </c>
      <c r="D256">
        <v>4630</v>
      </c>
      <c r="E256">
        <v>3</v>
      </c>
      <c r="F256">
        <v>2011</v>
      </c>
      <c r="G256">
        <v>1</v>
      </c>
      <c r="H256">
        <v>35</v>
      </c>
      <c r="I256">
        <v>2011</v>
      </c>
      <c r="J256" s="2" t="s">
        <v>18</v>
      </c>
    </row>
    <row r="257" spans="1:10" x14ac:dyDescent="0.2">
      <c r="A257">
        <v>256</v>
      </c>
      <c r="B257" s="2" t="s">
        <v>14</v>
      </c>
      <c r="C257" s="2" t="s">
        <v>13</v>
      </c>
      <c r="D257">
        <v>80</v>
      </c>
      <c r="E257">
        <v>9</v>
      </c>
      <c r="F257">
        <v>2005</v>
      </c>
      <c r="G257">
        <v>1</v>
      </c>
      <c r="H257">
        <v>10</v>
      </c>
      <c r="I257">
        <v>2014</v>
      </c>
      <c r="J257" s="2" t="s">
        <v>19</v>
      </c>
    </row>
    <row r="258" spans="1:10" x14ac:dyDescent="0.2">
      <c r="A258">
        <v>257</v>
      </c>
      <c r="B258" s="2" t="s">
        <v>14</v>
      </c>
      <c r="C258" s="2" t="s">
        <v>14</v>
      </c>
      <c r="D258">
        <v>420</v>
      </c>
      <c r="E258">
        <v>12</v>
      </c>
      <c r="F258">
        <v>2012</v>
      </c>
      <c r="G258">
        <v>0</v>
      </c>
      <c r="H258">
        <v>0</v>
      </c>
      <c r="I258">
        <v>0</v>
      </c>
      <c r="J258" s="2" t="s">
        <v>15</v>
      </c>
    </row>
    <row r="259" spans="1:10" x14ac:dyDescent="0.2">
      <c r="A259">
        <v>258</v>
      </c>
      <c r="B259" s="2" t="s">
        <v>14</v>
      </c>
      <c r="C259" s="2" t="s">
        <v>14</v>
      </c>
      <c r="D259">
        <v>27190</v>
      </c>
      <c r="E259">
        <v>7</v>
      </c>
      <c r="F259">
        <v>2010</v>
      </c>
      <c r="G259">
        <v>1</v>
      </c>
      <c r="H259">
        <v>37</v>
      </c>
      <c r="I259">
        <v>2009</v>
      </c>
      <c r="J259" s="2" t="s">
        <v>16</v>
      </c>
    </row>
    <row r="260" spans="1:10" x14ac:dyDescent="0.2">
      <c r="A260">
        <v>259</v>
      </c>
      <c r="B260" s="2" t="s">
        <v>20</v>
      </c>
      <c r="C260" s="2" t="s">
        <v>20</v>
      </c>
      <c r="D260">
        <v>210</v>
      </c>
      <c r="G260">
        <v>0</v>
      </c>
      <c r="H260">
        <v>0</v>
      </c>
      <c r="I260">
        <v>0</v>
      </c>
      <c r="J260" s="2" t="s">
        <v>15</v>
      </c>
    </row>
    <row r="261" spans="1:10" x14ac:dyDescent="0.2">
      <c r="A261">
        <v>260</v>
      </c>
      <c r="B261" s="2" t="s">
        <v>14</v>
      </c>
      <c r="C261" s="2" t="s">
        <v>14</v>
      </c>
      <c r="D261">
        <v>540</v>
      </c>
      <c r="E261">
        <v>10</v>
      </c>
      <c r="F261">
        <v>2011</v>
      </c>
      <c r="G261">
        <v>0</v>
      </c>
      <c r="H261">
        <v>0</v>
      </c>
      <c r="I261">
        <v>0</v>
      </c>
      <c r="J261" s="2" t="s">
        <v>15</v>
      </c>
    </row>
    <row r="262" spans="1:10" x14ac:dyDescent="0.2">
      <c r="A262">
        <v>261</v>
      </c>
      <c r="B262" s="2" t="s">
        <v>17</v>
      </c>
      <c r="C262" s="2" t="s">
        <v>13</v>
      </c>
      <c r="D262">
        <v>15340</v>
      </c>
      <c r="E262">
        <v>4</v>
      </c>
      <c r="F262">
        <v>2015</v>
      </c>
      <c r="G262">
        <v>1</v>
      </c>
      <c r="H262">
        <v>39</v>
      </c>
      <c r="I262">
        <v>2009</v>
      </c>
      <c r="J262" s="2" t="s">
        <v>16</v>
      </c>
    </row>
    <row r="263" spans="1:10" x14ac:dyDescent="0.2">
      <c r="A263">
        <v>262</v>
      </c>
      <c r="B263" s="2" t="s">
        <v>20</v>
      </c>
      <c r="C263" s="2" t="s">
        <v>14</v>
      </c>
      <c r="D263">
        <v>1180</v>
      </c>
      <c r="E263">
        <v>5</v>
      </c>
      <c r="F263">
        <v>2013</v>
      </c>
      <c r="G263">
        <v>0</v>
      </c>
      <c r="H263">
        <v>0</v>
      </c>
      <c r="I263">
        <v>0</v>
      </c>
      <c r="J263" s="2" t="s">
        <v>15</v>
      </c>
    </row>
    <row r="264" spans="1:10" x14ac:dyDescent="0.2">
      <c r="A264">
        <v>263</v>
      </c>
      <c r="B264" s="2" t="s">
        <v>14</v>
      </c>
      <c r="C264" s="2" t="s">
        <v>13</v>
      </c>
      <c r="D264">
        <v>1140</v>
      </c>
      <c r="E264">
        <v>5</v>
      </c>
      <c r="F264">
        <v>2013</v>
      </c>
      <c r="G264">
        <v>1</v>
      </c>
      <c r="H264">
        <v>40</v>
      </c>
      <c r="I264">
        <v>2014</v>
      </c>
      <c r="J264" s="2" t="s">
        <v>16</v>
      </c>
    </row>
    <row r="265" spans="1:10" x14ac:dyDescent="0.2">
      <c r="A265">
        <v>264</v>
      </c>
      <c r="B265" s="2" t="s">
        <v>14</v>
      </c>
      <c r="C265" s="2" t="s">
        <v>14</v>
      </c>
      <c r="D265">
        <v>180</v>
      </c>
      <c r="E265">
        <v>3</v>
      </c>
      <c r="F265">
        <v>2014</v>
      </c>
      <c r="G265">
        <v>0</v>
      </c>
      <c r="H265">
        <v>0</v>
      </c>
      <c r="I265">
        <v>0</v>
      </c>
      <c r="J265" s="2" t="s">
        <v>15</v>
      </c>
    </row>
    <row r="266" spans="1:10" x14ac:dyDescent="0.2">
      <c r="A266">
        <v>265</v>
      </c>
      <c r="B266" s="2" t="s">
        <v>14</v>
      </c>
      <c r="C266" s="2" t="s">
        <v>14</v>
      </c>
      <c r="D266">
        <v>4580</v>
      </c>
      <c r="G266">
        <v>1</v>
      </c>
      <c r="H266">
        <v>14</v>
      </c>
      <c r="I266">
        <v>2015</v>
      </c>
      <c r="J266" s="2" t="s">
        <v>16</v>
      </c>
    </row>
    <row r="267" spans="1:10" x14ac:dyDescent="0.2">
      <c r="A267">
        <v>266</v>
      </c>
      <c r="B267" s="2" t="s">
        <v>14</v>
      </c>
      <c r="C267" s="2" t="s">
        <v>13</v>
      </c>
      <c r="D267">
        <v>360</v>
      </c>
      <c r="E267">
        <v>3</v>
      </c>
      <c r="F267">
        <v>2014</v>
      </c>
      <c r="G267">
        <v>1</v>
      </c>
      <c r="H267">
        <v>9</v>
      </c>
      <c r="I267">
        <v>2011</v>
      </c>
      <c r="J267" s="2" t="s">
        <v>19</v>
      </c>
    </row>
    <row r="268" spans="1:10" x14ac:dyDescent="0.2">
      <c r="A268">
        <v>267</v>
      </c>
      <c r="B268" s="2" t="s">
        <v>13</v>
      </c>
      <c r="C268" s="2" t="s">
        <v>14</v>
      </c>
      <c r="D268">
        <v>2460</v>
      </c>
      <c r="E268">
        <v>1</v>
      </c>
      <c r="F268">
        <v>2012</v>
      </c>
      <c r="G268">
        <v>0</v>
      </c>
      <c r="H268">
        <v>0</v>
      </c>
      <c r="I268">
        <v>0</v>
      </c>
      <c r="J268" s="2" t="s">
        <v>15</v>
      </c>
    </row>
    <row r="269" spans="1:10" x14ac:dyDescent="0.2">
      <c r="A269">
        <v>268</v>
      </c>
      <c r="B269" s="2" t="s">
        <v>14</v>
      </c>
      <c r="C269" s="2" t="s">
        <v>14</v>
      </c>
      <c r="D269">
        <v>4520</v>
      </c>
      <c r="E269">
        <v>2</v>
      </c>
      <c r="F269">
        <v>2014</v>
      </c>
      <c r="G269">
        <v>0</v>
      </c>
      <c r="H269">
        <v>0</v>
      </c>
      <c r="I269">
        <v>0</v>
      </c>
      <c r="J269" s="2" t="s">
        <v>15</v>
      </c>
    </row>
    <row r="270" spans="1:10" x14ac:dyDescent="0.2">
      <c r="A270">
        <v>269</v>
      </c>
      <c r="B270" s="2" t="s">
        <v>14</v>
      </c>
      <c r="C270" s="2" t="s">
        <v>13</v>
      </c>
      <c r="D270">
        <v>60</v>
      </c>
      <c r="E270">
        <v>6</v>
      </c>
      <c r="F270">
        <v>2015</v>
      </c>
      <c r="G270">
        <v>0</v>
      </c>
      <c r="H270">
        <v>0</v>
      </c>
      <c r="I270">
        <v>0</v>
      </c>
      <c r="J270" s="2" t="s">
        <v>15</v>
      </c>
    </row>
    <row r="271" spans="1:10" x14ac:dyDescent="0.2">
      <c r="A271">
        <v>270</v>
      </c>
      <c r="B271" s="2" t="s">
        <v>14</v>
      </c>
      <c r="C271" s="2" t="s">
        <v>14</v>
      </c>
      <c r="D271">
        <v>1450</v>
      </c>
      <c r="E271">
        <v>7</v>
      </c>
      <c r="F271">
        <v>2014</v>
      </c>
      <c r="G271">
        <v>0</v>
      </c>
      <c r="H271">
        <v>0</v>
      </c>
      <c r="I271">
        <v>0</v>
      </c>
      <c r="J271" s="2" t="s">
        <v>15</v>
      </c>
    </row>
    <row r="272" spans="1:10" x14ac:dyDescent="0.2">
      <c r="A272">
        <v>271</v>
      </c>
      <c r="B272" s="2" t="s">
        <v>14</v>
      </c>
      <c r="C272" s="2" t="s">
        <v>14</v>
      </c>
      <c r="D272">
        <v>420</v>
      </c>
      <c r="G272">
        <v>1</v>
      </c>
      <c r="H272">
        <v>14</v>
      </c>
      <c r="I272">
        <v>2011</v>
      </c>
      <c r="J272" s="2" t="s">
        <v>16</v>
      </c>
    </row>
    <row r="273" spans="1:10" x14ac:dyDescent="0.2">
      <c r="A273">
        <v>272</v>
      </c>
      <c r="B273" s="2" t="s">
        <v>14</v>
      </c>
      <c r="C273" s="2" t="s">
        <v>14</v>
      </c>
      <c r="D273">
        <v>16180</v>
      </c>
      <c r="E273">
        <v>7</v>
      </c>
      <c r="F273">
        <v>2003</v>
      </c>
      <c r="G273">
        <v>1</v>
      </c>
      <c r="H273">
        <v>14</v>
      </c>
      <c r="I273">
        <v>2011</v>
      </c>
      <c r="J273" s="2" t="s">
        <v>16</v>
      </c>
    </row>
    <row r="274" spans="1:10" x14ac:dyDescent="0.2">
      <c r="A274">
        <v>273</v>
      </c>
      <c r="B274" s="2" t="s">
        <v>14</v>
      </c>
      <c r="C274" s="2" t="s">
        <v>13</v>
      </c>
      <c r="D274">
        <v>8480</v>
      </c>
      <c r="G274">
        <v>0</v>
      </c>
      <c r="H274">
        <v>0</v>
      </c>
      <c r="I274">
        <v>0</v>
      </c>
      <c r="J274" s="2" t="s">
        <v>15</v>
      </c>
    </row>
    <row r="275" spans="1:10" x14ac:dyDescent="0.2">
      <c r="A275">
        <v>274</v>
      </c>
      <c r="B275" s="2" t="s">
        <v>20</v>
      </c>
      <c r="C275" s="2" t="s">
        <v>20</v>
      </c>
      <c r="D275">
        <v>3640</v>
      </c>
      <c r="G275">
        <v>1</v>
      </c>
      <c r="H275">
        <v>10</v>
      </c>
      <c r="I275">
        <v>2013</v>
      </c>
      <c r="J275" s="2" t="s">
        <v>16</v>
      </c>
    </row>
    <row r="276" spans="1:10" x14ac:dyDescent="0.2">
      <c r="A276">
        <v>275</v>
      </c>
      <c r="B276" s="2" t="s">
        <v>17</v>
      </c>
      <c r="C276" s="2" t="s">
        <v>14</v>
      </c>
      <c r="D276">
        <v>300</v>
      </c>
      <c r="E276">
        <v>5</v>
      </c>
      <c r="F276">
        <v>2014</v>
      </c>
      <c r="G276">
        <v>1</v>
      </c>
      <c r="H276">
        <v>40</v>
      </c>
      <c r="I276">
        <v>2014</v>
      </c>
      <c r="J276" s="2" t="s">
        <v>16</v>
      </c>
    </row>
    <row r="277" spans="1:10" x14ac:dyDescent="0.2">
      <c r="A277">
        <v>276</v>
      </c>
      <c r="B277" s="2" t="s">
        <v>14</v>
      </c>
      <c r="C277" s="2" t="s">
        <v>14</v>
      </c>
      <c r="D277">
        <v>2960</v>
      </c>
      <c r="E277">
        <v>10</v>
      </c>
      <c r="F277">
        <v>2014</v>
      </c>
      <c r="G277">
        <v>1</v>
      </c>
      <c r="H277">
        <v>36</v>
      </c>
      <c r="I277">
        <v>2013</v>
      </c>
      <c r="J277" s="2" t="s">
        <v>19</v>
      </c>
    </row>
    <row r="278" spans="1:10" x14ac:dyDescent="0.2">
      <c r="A278">
        <v>277</v>
      </c>
      <c r="B278" s="2" t="s">
        <v>17</v>
      </c>
      <c r="C278" s="2" t="s">
        <v>13</v>
      </c>
      <c r="D278">
        <v>7840</v>
      </c>
      <c r="G278">
        <v>1</v>
      </c>
      <c r="H278">
        <v>31</v>
      </c>
      <c r="I278">
        <v>2009</v>
      </c>
      <c r="J278" s="2" t="s">
        <v>18</v>
      </c>
    </row>
    <row r="279" spans="1:10" x14ac:dyDescent="0.2">
      <c r="A279">
        <v>278</v>
      </c>
      <c r="B279" s="2" t="s">
        <v>14</v>
      </c>
      <c r="C279" s="2" t="s">
        <v>13</v>
      </c>
      <c r="D279">
        <v>9260</v>
      </c>
      <c r="E279">
        <v>2</v>
      </c>
      <c r="F279">
        <v>2010</v>
      </c>
      <c r="G279">
        <v>0</v>
      </c>
      <c r="H279">
        <v>0</v>
      </c>
      <c r="I279">
        <v>0</v>
      </c>
      <c r="J279" s="2" t="s">
        <v>15</v>
      </c>
    </row>
    <row r="280" spans="1:10" x14ac:dyDescent="0.2">
      <c r="A280">
        <v>279</v>
      </c>
      <c r="B280" s="2" t="s">
        <v>17</v>
      </c>
      <c r="C280" s="2" t="s">
        <v>13</v>
      </c>
      <c r="D280">
        <v>2320</v>
      </c>
      <c r="G280">
        <v>1</v>
      </c>
      <c r="H280">
        <v>40</v>
      </c>
      <c r="I280">
        <v>2012</v>
      </c>
      <c r="J280" s="2" t="s">
        <v>16</v>
      </c>
    </row>
    <row r="281" spans="1:10" x14ac:dyDescent="0.2">
      <c r="A281">
        <v>280</v>
      </c>
      <c r="B281" s="2" t="s">
        <v>17</v>
      </c>
      <c r="C281" s="2" t="s">
        <v>13</v>
      </c>
      <c r="D281">
        <v>18640</v>
      </c>
      <c r="E281">
        <v>9</v>
      </c>
      <c r="F281">
        <v>2013</v>
      </c>
      <c r="G281">
        <v>1</v>
      </c>
      <c r="H281">
        <v>10</v>
      </c>
      <c r="I281">
        <v>2014</v>
      </c>
      <c r="J281" s="2" t="s">
        <v>19</v>
      </c>
    </row>
    <row r="282" spans="1:10" x14ac:dyDescent="0.2">
      <c r="A282">
        <v>281</v>
      </c>
      <c r="B282" s="2" t="s">
        <v>17</v>
      </c>
      <c r="C282" s="2" t="s">
        <v>13</v>
      </c>
      <c r="D282">
        <v>6970</v>
      </c>
      <c r="E282">
        <v>9</v>
      </c>
      <c r="F282">
        <v>2011</v>
      </c>
      <c r="G282">
        <v>0</v>
      </c>
      <c r="H282">
        <v>0</v>
      </c>
      <c r="I282">
        <v>0</v>
      </c>
      <c r="J282" s="2" t="s">
        <v>15</v>
      </c>
    </row>
    <row r="283" spans="1:10" x14ac:dyDescent="0.2">
      <c r="A283">
        <v>282</v>
      </c>
      <c r="B283" s="2" t="s">
        <v>14</v>
      </c>
      <c r="C283" s="2" t="s">
        <v>14</v>
      </c>
      <c r="D283">
        <v>1220</v>
      </c>
      <c r="E283">
        <v>12</v>
      </c>
      <c r="F283">
        <v>2010</v>
      </c>
      <c r="G283">
        <v>0</v>
      </c>
      <c r="H283">
        <v>0</v>
      </c>
      <c r="I283">
        <v>0</v>
      </c>
      <c r="J283" s="2" t="s">
        <v>15</v>
      </c>
    </row>
    <row r="284" spans="1:10" x14ac:dyDescent="0.2">
      <c r="A284">
        <v>283</v>
      </c>
      <c r="B284" s="2" t="s">
        <v>14</v>
      </c>
      <c r="C284" s="2" t="s">
        <v>14</v>
      </c>
      <c r="D284">
        <v>2260</v>
      </c>
      <c r="G284">
        <v>1</v>
      </c>
      <c r="H284">
        <v>40</v>
      </c>
      <c r="I284">
        <v>2014</v>
      </c>
      <c r="J284" s="2" t="s">
        <v>16</v>
      </c>
    </row>
    <row r="285" spans="1:10" x14ac:dyDescent="0.2">
      <c r="A285">
        <v>284</v>
      </c>
      <c r="B285" s="2" t="s">
        <v>17</v>
      </c>
      <c r="C285" s="2" t="s">
        <v>14</v>
      </c>
      <c r="D285">
        <v>1290</v>
      </c>
      <c r="G285">
        <v>1</v>
      </c>
      <c r="H285">
        <v>40</v>
      </c>
      <c r="I285">
        <v>2014</v>
      </c>
      <c r="J285" s="2" t="s">
        <v>16</v>
      </c>
    </row>
    <row r="286" spans="1:10" x14ac:dyDescent="0.2">
      <c r="A286">
        <v>285</v>
      </c>
      <c r="B286" s="2" t="s">
        <v>14</v>
      </c>
      <c r="C286" s="2" t="s">
        <v>14</v>
      </c>
      <c r="D286">
        <v>2410</v>
      </c>
      <c r="G286">
        <v>0</v>
      </c>
      <c r="H286">
        <v>0</v>
      </c>
      <c r="I286">
        <v>0</v>
      </c>
      <c r="J286" s="2" t="s">
        <v>15</v>
      </c>
    </row>
    <row r="287" spans="1:10" x14ac:dyDescent="0.2">
      <c r="A287">
        <v>286</v>
      </c>
      <c r="B287" s="2" t="s">
        <v>14</v>
      </c>
      <c r="C287" s="2" t="s">
        <v>14</v>
      </c>
      <c r="D287">
        <v>1460</v>
      </c>
      <c r="E287">
        <v>4</v>
      </c>
      <c r="F287">
        <v>2015</v>
      </c>
      <c r="G287">
        <v>0</v>
      </c>
      <c r="H287">
        <v>0</v>
      </c>
      <c r="I287">
        <v>0</v>
      </c>
      <c r="J287" s="2" t="s">
        <v>15</v>
      </c>
    </row>
    <row r="288" spans="1:10" x14ac:dyDescent="0.2">
      <c r="A288">
        <v>287</v>
      </c>
      <c r="B288" s="2" t="s">
        <v>13</v>
      </c>
      <c r="C288" s="2" t="s">
        <v>14</v>
      </c>
      <c r="D288">
        <v>2740</v>
      </c>
      <c r="E288">
        <v>5</v>
      </c>
      <c r="F288">
        <v>2009</v>
      </c>
      <c r="G288">
        <v>1</v>
      </c>
      <c r="H288">
        <v>40</v>
      </c>
      <c r="I288">
        <v>2014</v>
      </c>
      <c r="J288" s="2" t="s">
        <v>16</v>
      </c>
    </row>
    <row r="289" spans="1:10" x14ac:dyDescent="0.2">
      <c r="A289">
        <v>288</v>
      </c>
      <c r="B289" s="2" t="s">
        <v>17</v>
      </c>
      <c r="C289" s="2" t="s">
        <v>14</v>
      </c>
      <c r="D289">
        <v>800</v>
      </c>
      <c r="G289">
        <v>1</v>
      </c>
      <c r="H289">
        <v>14</v>
      </c>
      <c r="I289">
        <v>2011</v>
      </c>
      <c r="J289" s="2" t="s">
        <v>19</v>
      </c>
    </row>
    <row r="290" spans="1:10" x14ac:dyDescent="0.2">
      <c r="A290">
        <v>289</v>
      </c>
      <c r="B290" s="2" t="s">
        <v>17</v>
      </c>
      <c r="C290" s="2" t="s">
        <v>14</v>
      </c>
      <c r="D290">
        <v>6540</v>
      </c>
      <c r="E290">
        <v>12</v>
      </c>
      <c r="F290">
        <v>2007</v>
      </c>
      <c r="G290">
        <v>0</v>
      </c>
      <c r="H290">
        <v>0</v>
      </c>
      <c r="I290">
        <v>0</v>
      </c>
      <c r="J290" s="2" t="s">
        <v>15</v>
      </c>
    </row>
    <row r="291" spans="1:10" x14ac:dyDescent="0.2">
      <c r="A291">
        <v>290</v>
      </c>
      <c r="B291" s="2" t="s">
        <v>14</v>
      </c>
      <c r="C291" s="2" t="s">
        <v>14</v>
      </c>
      <c r="D291">
        <v>4150</v>
      </c>
      <c r="E291">
        <v>5</v>
      </c>
      <c r="F291">
        <v>2001</v>
      </c>
      <c r="G291">
        <v>0</v>
      </c>
      <c r="H291">
        <v>0</v>
      </c>
      <c r="I291">
        <v>0</v>
      </c>
      <c r="J291" s="2" t="s">
        <v>15</v>
      </c>
    </row>
    <row r="292" spans="1:10" x14ac:dyDescent="0.2">
      <c r="A292">
        <v>291</v>
      </c>
      <c r="B292" s="2" t="s">
        <v>17</v>
      </c>
      <c r="C292" s="2" t="s">
        <v>14</v>
      </c>
      <c r="G292">
        <v>0</v>
      </c>
      <c r="H292">
        <v>0</v>
      </c>
      <c r="I292">
        <v>0</v>
      </c>
      <c r="J292" s="2" t="s">
        <v>15</v>
      </c>
    </row>
    <row r="293" spans="1:10" x14ac:dyDescent="0.2">
      <c r="A293">
        <v>292</v>
      </c>
      <c r="B293" s="2" t="s">
        <v>14</v>
      </c>
      <c r="C293" s="2" t="s">
        <v>14</v>
      </c>
      <c r="D293">
        <v>1100</v>
      </c>
      <c r="E293">
        <v>6</v>
      </c>
      <c r="F293">
        <v>2009</v>
      </c>
      <c r="G293">
        <v>0</v>
      </c>
      <c r="H293">
        <v>0</v>
      </c>
      <c r="I293">
        <v>0</v>
      </c>
      <c r="J293" s="2" t="s">
        <v>15</v>
      </c>
    </row>
    <row r="294" spans="1:10" x14ac:dyDescent="0.2">
      <c r="A294">
        <v>293</v>
      </c>
      <c r="B294" s="2" t="s">
        <v>13</v>
      </c>
      <c r="C294" s="2" t="s">
        <v>13</v>
      </c>
      <c r="D294">
        <v>140</v>
      </c>
      <c r="E294">
        <v>11</v>
      </c>
      <c r="F294">
        <v>2007</v>
      </c>
      <c r="G294">
        <v>0</v>
      </c>
      <c r="H294">
        <v>0</v>
      </c>
      <c r="I294">
        <v>0</v>
      </c>
      <c r="J294" s="2" t="s">
        <v>15</v>
      </c>
    </row>
    <row r="295" spans="1:10" x14ac:dyDescent="0.2">
      <c r="A295">
        <v>294</v>
      </c>
      <c r="B295" s="2" t="s">
        <v>14</v>
      </c>
      <c r="C295" s="2" t="s">
        <v>14</v>
      </c>
      <c r="D295">
        <v>3150</v>
      </c>
      <c r="E295">
        <v>5</v>
      </c>
      <c r="F295">
        <v>2005</v>
      </c>
      <c r="G295">
        <v>0</v>
      </c>
      <c r="H295">
        <v>0</v>
      </c>
      <c r="I295">
        <v>0</v>
      </c>
      <c r="J295" s="2" t="s">
        <v>15</v>
      </c>
    </row>
    <row r="296" spans="1:10" x14ac:dyDescent="0.2">
      <c r="A296">
        <v>295</v>
      </c>
      <c r="B296" s="2" t="s">
        <v>14</v>
      </c>
      <c r="C296" s="2" t="s">
        <v>14</v>
      </c>
      <c r="D296">
        <v>210</v>
      </c>
      <c r="E296">
        <v>11</v>
      </c>
      <c r="F296">
        <v>2000</v>
      </c>
      <c r="G296">
        <v>1</v>
      </c>
      <c r="H296">
        <v>36</v>
      </c>
      <c r="I296">
        <v>2013</v>
      </c>
      <c r="J296" s="2" t="s">
        <v>19</v>
      </c>
    </row>
    <row r="297" spans="1:10" x14ac:dyDescent="0.2">
      <c r="A297">
        <v>296</v>
      </c>
      <c r="B297" s="2" t="s">
        <v>14</v>
      </c>
      <c r="C297" s="2" t="s">
        <v>14</v>
      </c>
      <c r="D297">
        <v>9580</v>
      </c>
      <c r="E297">
        <v>5</v>
      </c>
      <c r="F297">
        <v>2007</v>
      </c>
      <c r="G297">
        <v>1</v>
      </c>
      <c r="H297">
        <v>45</v>
      </c>
      <c r="I297">
        <v>2014</v>
      </c>
      <c r="J297" s="2" t="s">
        <v>18</v>
      </c>
    </row>
    <row r="298" spans="1:10" x14ac:dyDescent="0.2">
      <c r="A298">
        <v>297</v>
      </c>
      <c r="B298" s="2" t="s">
        <v>14</v>
      </c>
      <c r="C298" s="2" t="s">
        <v>14</v>
      </c>
      <c r="D298">
        <v>2300</v>
      </c>
      <c r="E298">
        <v>9</v>
      </c>
      <c r="F298">
        <v>2010</v>
      </c>
      <c r="G298">
        <v>0</v>
      </c>
      <c r="H298">
        <v>0</v>
      </c>
      <c r="I298">
        <v>0</v>
      </c>
      <c r="J298" s="2" t="s">
        <v>15</v>
      </c>
    </row>
    <row r="299" spans="1:10" x14ac:dyDescent="0.2">
      <c r="A299">
        <v>298</v>
      </c>
      <c r="B299" s="2" t="s">
        <v>17</v>
      </c>
      <c r="C299" s="2" t="s">
        <v>14</v>
      </c>
      <c r="D299">
        <v>19840</v>
      </c>
      <c r="E299">
        <v>7</v>
      </c>
      <c r="F299">
        <v>2009</v>
      </c>
      <c r="G299">
        <v>0</v>
      </c>
      <c r="H299">
        <v>0</v>
      </c>
      <c r="I299">
        <v>0</v>
      </c>
      <c r="J299" s="2" t="s">
        <v>15</v>
      </c>
    </row>
    <row r="300" spans="1:10" x14ac:dyDescent="0.2">
      <c r="A300">
        <v>299</v>
      </c>
      <c r="B300" s="2" t="s">
        <v>17</v>
      </c>
      <c r="C300" s="2" t="s">
        <v>13</v>
      </c>
      <c r="D300">
        <v>38630</v>
      </c>
      <c r="E300">
        <v>9</v>
      </c>
      <c r="F300">
        <v>2012</v>
      </c>
      <c r="G300">
        <v>0</v>
      </c>
      <c r="H300">
        <v>0</v>
      </c>
      <c r="I300">
        <v>0</v>
      </c>
      <c r="J300" s="2" t="s">
        <v>15</v>
      </c>
    </row>
    <row r="301" spans="1:10" x14ac:dyDescent="0.2">
      <c r="A301">
        <v>300</v>
      </c>
      <c r="B301" s="2" t="s">
        <v>14</v>
      </c>
      <c r="C301" s="2" t="s">
        <v>13</v>
      </c>
      <c r="D301">
        <v>120</v>
      </c>
      <c r="E301">
        <v>4</v>
      </c>
      <c r="F301">
        <v>2009</v>
      </c>
      <c r="G301">
        <v>1</v>
      </c>
      <c r="H301">
        <v>1</v>
      </c>
      <c r="I301">
        <v>2012</v>
      </c>
      <c r="J301" s="2" t="s">
        <v>16</v>
      </c>
    </row>
    <row r="302" spans="1:10" x14ac:dyDescent="0.2">
      <c r="A302">
        <v>301</v>
      </c>
      <c r="B302" s="2" t="s">
        <v>14</v>
      </c>
      <c r="C302" s="2" t="s">
        <v>13</v>
      </c>
      <c r="D302">
        <v>4510</v>
      </c>
      <c r="E302">
        <v>3</v>
      </c>
      <c r="F302">
        <v>2015</v>
      </c>
      <c r="G302">
        <v>0</v>
      </c>
      <c r="H302">
        <v>0</v>
      </c>
      <c r="I302">
        <v>0</v>
      </c>
      <c r="J302" s="2" t="s">
        <v>15</v>
      </c>
    </row>
    <row r="303" spans="1:10" x14ac:dyDescent="0.2">
      <c r="A303">
        <v>302</v>
      </c>
      <c r="B303" s="2" t="s">
        <v>17</v>
      </c>
      <c r="C303" s="2" t="s">
        <v>13</v>
      </c>
      <c r="D303">
        <v>2190</v>
      </c>
      <c r="E303">
        <v>12</v>
      </c>
      <c r="F303">
        <v>2007</v>
      </c>
      <c r="G303">
        <v>1</v>
      </c>
      <c r="H303">
        <v>9</v>
      </c>
      <c r="I303">
        <v>2011</v>
      </c>
      <c r="J303" s="2" t="s">
        <v>19</v>
      </c>
    </row>
    <row r="304" spans="1:10" x14ac:dyDescent="0.2">
      <c r="A304">
        <v>303</v>
      </c>
      <c r="B304" s="2" t="s">
        <v>14</v>
      </c>
      <c r="C304" s="2" t="s">
        <v>14</v>
      </c>
      <c r="D304">
        <v>15430</v>
      </c>
      <c r="E304">
        <v>11</v>
      </c>
      <c r="F304">
        <v>2012</v>
      </c>
      <c r="G304">
        <v>1</v>
      </c>
      <c r="H304">
        <v>18</v>
      </c>
      <c r="I304">
        <v>2011</v>
      </c>
      <c r="J304" s="2" t="s">
        <v>18</v>
      </c>
    </row>
    <row r="305" spans="1:10" x14ac:dyDescent="0.2">
      <c r="A305">
        <v>304</v>
      </c>
      <c r="B305" s="2" t="s">
        <v>14</v>
      </c>
      <c r="C305" s="2" t="s">
        <v>14</v>
      </c>
      <c r="D305">
        <v>1950</v>
      </c>
      <c r="E305">
        <v>7</v>
      </c>
      <c r="F305">
        <v>2015</v>
      </c>
      <c r="G305">
        <v>0</v>
      </c>
      <c r="H305">
        <v>0</v>
      </c>
      <c r="I305">
        <v>0</v>
      </c>
      <c r="J305" s="2" t="s">
        <v>15</v>
      </c>
    </row>
    <row r="306" spans="1:10" x14ac:dyDescent="0.2">
      <c r="A306">
        <v>305</v>
      </c>
      <c r="B306" s="2" t="s">
        <v>13</v>
      </c>
      <c r="C306" s="2" t="s">
        <v>13</v>
      </c>
      <c r="D306">
        <v>2470</v>
      </c>
      <c r="E306">
        <v>2</v>
      </c>
      <c r="F306">
        <v>2005</v>
      </c>
      <c r="G306">
        <v>1</v>
      </c>
      <c r="H306">
        <v>31</v>
      </c>
      <c r="I306">
        <v>2013</v>
      </c>
      <c r="J306" s="2" t="s">
        <v>19</v>
      </c>
    </row>
    <row r="307" spans="1:10" x14ac:dyDescent="0.2">
      <c r="A307">
        <v>306</v>
      </c>
      <c r="B307" s="2" t="s">
        <v>14</v>
      </c>
      <c r="C307" s="2" t="s">
        <v>14</v>
      </c>
      <c r="D307">
        <v>5100</v>
      </c>
      <c r="E307">
        <v>4</v>
      </c>
      <c r="F307">
        <v>2007</v>
      </c>
      <c r="G307">
        <v>1</v>
      </c>
      <c r="H307">
        <v>40</v>
      </c>
      <c r="I307">
        <v>2014</v>
      </c>
      <c r="J307" s="2" t="s">
        <v>16</v>
      </c>
    </row>
    <row r="308" spans="1:10" x14ac:dyDescent="0.2">
      <c r="A308">
        <v>307</v>
      </c>
      <c r="B308" s="2" t="s">
        <v>14</v>
      </c>
      <c r="C308" s="2" t="s">
        <v>14</v>
      </c>
      <c r="D308">
        <v>18660</v>
      </c>
      <c r="E308">
        <v>9</v>
      </c>
      <c r="F308">
        <v>2002</v>
      </c>
      <c r="G308">
        <v>0</v>
      </c>
      <c r="H308">
        <v>0</v>
      </c>
      <c r="I308">
        <v>0</v>
      </c>
      <c r="J308" s="2" t="s">
        <v>15</v>
      </c>
    </row>
    <row r="309" spans="1:10" x14ac:dyDescent="0.2">
      <c r="A309">
        <v>308</v>
      </c>
      <c r="B309" s="2" t="s">
        <v>14</v>
      </c>
      <c r="C309" s="2" t="s">
        <v>14</v>
      </c>
      <c r="D309">
        <v>1070</v>
      </c>
      <c r="E309">
        <v>12</v>
      </c>
      <c r="F309">
        <v>2006</v>
      </c>
      <c r="G309">
        <v>1</v>
      </c>
      <c r="H309">
        <v>13</v>
      </c>
      <c r="I309">
        <v>2010</v>
      </c>
      <c r="J309" s="2" t="s">
        <v>16</v>
      </c>
    </row>
    <row r="310" spans="1:10" x14ac:dyDescent="0.2">
      <c r="A310">
        <v>309</v>
      </c>
      <c r="B310" s="2" t="s">
        <v>17</v>
      </c>
      <c r="C310" s="2" t="s">
        <v>14</v>
      </c>
      <c r="D310">
        <v>8740</v>
      </c>
      <c r="G310">
        <v>1</v>
      </c>
      <c r="H310">
        <v>37</v>
      </c>
      <c r="I310">
        <v>2009</v>
      </c>
      <c r="J310" s="2" t="s">
        <v>18</v>
      </c>
    </row>
    <row r="311" spans="1:10" x14ac:dyDescent="0.2">
      <c r="A311">
        <v>310</v>
      </c>
      <c r="B311" s="2" t="s">
        <v>14</v>
      </c>
      <c r="C311" s="2" t="s">
        <v>13</v>
      </c>
      <c r="D311">
        <v>2290</v>
      </c>
      <c r="G311">
        <v>1</v>
      </c>
      <c r="H311">
        <v>10</v>
      </c>
      <c r="I311">
        <v>2014</v>
      </c>
      <c r="J311" s="2" t="s">
        <v>19</v>
      </c>
    </row>
    <row r="312" spans="1:10" x14ac:dyDescent="0.2">
      <c r="A312">
        <v>311</v>
      </c>
      <c r="B312" s="2" t="s">
        <v>14</v>
      </c>
      <c r="C312" s="2" t="s">
        <v>13</v>
      </c>
      <c r="D312">
        <v>680</v>
      </c>
      <c r="E312">
        <v>7</v>
      </c>
      <c r="F312">
        <v>2005</v>
      </c>
      <c r="G312">
        <v>0</v>
      </c>
      <c r="H312">
        <v>0</v>
      </c>
      <c r="I312">
        <v>0</v>
      </c>
      <c r="J312" s="2" t="s">
        <v>15</v>
      </c>
    </row>
    <row r="313" spans="1:10" x14ac:dyDescent="0.2">
      <c r="A313">
        <v>312</v>
      </c>
      <c r="B313" s="2" t="s">
        <v>17</v>
      </c>
      <c r="C313" s="2" t="s">
        <v>14</v>
      </c>
      <c r="D313">
        <v>11300</v>
      </c>
      <c r="E313">
        <v>3</v>
      </c>
      <c r="F313">
        <v>2012</v>
      </c>
      <c r="G313">
        <v>0</v>
      </c>
      <c r="H313">
        <v>0</v>
      </c>
      <c r="I313">
        <v>0</v>
      </c>
      <c r="J313" s="2" t="s">
        <v>15</v>
      </c>
    </row>
    <row r="314" spans="1:10" x14ac:dyDescent="0.2">
      <c r="A314">
        <v>313</v>
      </c>
      <c r="B314" s="2" t="s">
        <v>17</v>
      </c>
      <c r="C314" s="2" t="s">
        <v>13</v>
      </c>
      <c r="D314">
        <v>14160</v>
      </c>
      <c r="G314">
        <v>0</v>
      </c>
      <c r="H314">
        <v>0</v>
      </c>
      <c r="I314">
        <v>0</v>
      </c>
      <c r="J314" s="2" t="s">
        <v>15</v>
      </c>
    </row>
    <row r="315" spans="1:10" x14ac:dyDescent="0.2">
      <c r="A315">
        <v>314</v>
      </c>
      <c r="B315" s="2" t="s">
        <v>14</v>
      </c>
      <c r="C315" s="2" t="s">
        <v>14</v>
      </c>
      <c r="D315">
        <v>3560</v>
      </c>
      <c r="E315">
        <v>10</v>
      </c>
      <c r="F315">
        <v>2001</v>
      </c>
      <c r="G315">
        <v>1</v>
      </c>
      <c r="H315">
        <v>31</v>
      </c>
      <c r="I315">
        <v>2013</v>
      </c>
      <c r="J315" s="2" t="s">
        <v>18</v>
      </c>
    </row>
    <row r="316" spans="1:10" x14ac:dyDescent="0.2">
      <c r="A316">
        <v>315</v>
      </c>
      <c r="B316" s="2" t="s">
        <v>14</v>
      </c>
      <c r="C316" s="2" t="s">
        <v>13</v>
      </c>
      <c r="D316">
        <v>38710</v>
      </c>
      <c r="E316">
        <v>4</v>
      </c>
      <c r="F316">
        <v>2013</v>
      </c>
      <c r="G316">
        <v>0</v>
      </c>
      <c r="H316">
        <v>0</v>
      </c>
      <c r="I316">
        <v>0</v>
      </c>
      <c r="J316" s="2" t="s">
        <v>15</v>
      </c>
    </row>
    <row r="317" spans="1:10" x14ac:dyDescent="0.2">
      <c r="A317">
        <v>316</v>
      </c>
      <c r="B317" s="2" t="s">
        <v>17</v>
      </c>
      <c r="C317" s="2" t="s">
        <v>14</v>
      </c>
      <c r="D317">
        <v>9000</v>
      </c>
      <c r="E317">
        <v>8</v>
      </c>
      <c r="F317">
        <v>2001</v>
      </c>
      <c r="G317">
        <v>0</v>
      </c>
      <c r="H317">
        <v>0</v>
      </c>
      <c r="I317">
        <v>0</v>
      </c>
      <c r="J317" s="2" t="s">
        <v>15</v>
      </c>
    </row>
    <row r="318" spans="1:10" x14ac:dyDescent="0.2">
      <c r="A318">
        <v>317</v>
      </c>
      <c r="B318" s="2" t="s">
        <v>17</v>
      </c>
      <c r="C318" s="2" t="s">
        <v>14</v>
      </c>
      <c r="D318">
        <v>3140</v>
      </c>
      <c r="E318">
        <v>7</v>
      </c>
      <c r="F318">
        <v>2013</v>
      </c>
      <c r="G318">
        <v>1</v>
      </c>
      <c r="H318">
        <v>14</v>
      </c>
      <c r="I318">
        <v>2011</v>
      </c>
      <c r="J318" s="2" t="s">
        <v>16</v>
      </c>
    </row>
    <row r="319" spans="1:10" x14ac:dyDescent="0.2">
      <c r="A319">
        <v>318</v>
      </c>
      <c r="B319" s="2" t="s">
        <v>17</v>
      </c>
      <c r="C319" s="2" t="s">
        <v>13</v>
      </c>
      <c r="D319">
        <v>32330</v>
      </c>
      <c r="E319">
        <v>3</v>
      </c>
      <c r="F319">
        <v>2014</v>
      </c>
      <c r="G319">
        <v>0</v>
      </c>
      <c r="H319">
        <v>0</v>
      </c>
      <c r="I319">
        <v>0</v>
      </c>
      <c r="J319" s="2" t="s">
        <v>15</v>
      </c>
    </row>
    <row r="320" spans="1:10" x14ac:dyDescent="0.2">
      <c r="A320">
        <v>319</v>
      </c>
      <c r="B320" s="2" t="s">
        <v>14</v>
      </c>
      <c r="C320" s="2" t="s">
        <v>13</v>
      </c>
      <c r="D320">
        <v>570</v>
      </c>
      <c r="E320">
        <v>9</v>
      </c>
      <c r="F320">
        <v>2012</v>
      </c>
      <c r="G320">
        <v>1</v>
      </c>
      <c r="H320">
        <v>27</v>
      </c>
      <c r="I320">
        <v>2012</v>
      </c>
      <c r="J320" s="2" t="s">
        <v>19</v>
      </c>
    </row>
    <row r="321" spans="1:10" x14ac:dyDescent="0.2">
      <c r="A321">
        <v>320</v>
      </c>
      <c r="B321" s="2" t="s">
        <v>14</v>
      </c>
      <c r="C321" s="2" t="s">
        <v>13</v>
      </c>
      <c r="D321">
        <v>210</v>
      </c>
      <c r="E321">
        <v>9</v>
      </c>
      <c r="F321">
        <v>2012</v>
      </c>
      <c r="G321">
        <v>0</v>
      </c>
      <c r="H321">
        <v>0</v>
      </c>
      <c r="I321">
        <v>0</v>
      </c>
      <c r="J321" s="2" t="s">
        <v>15</v>
      </c>
    </row>
    <row r="322" spans="1:10" x14ac:dyDescent="0.2">
      <c r="A322">
        <v>321</v>
      </c>
      <c r="B322" s="2" t="s">
        <v>13</v>
      </c>
      <c r="C322" s="2" t="s">
        <v>13</v>
      </c>
      <c r="D322">
        <v>8140</v>
      </c>
      <c r="E322">
        <v>11</v>
      </c>
      <c r="F322">
        <v>2013</v>
      </c>
      <c r="G322">
        <v>1</v>
      </c>
      <c r="H322">
        <v>10</v>
      </c>
      <c r="I322">
        <v>2014</v>
      </c>
      <c r="J322" s="2" t="s">
        <v>19</v>
      </c>
    </row>
    <row r="323" spans="1:10" x14ac:dyDescent="0.2">
      <c r="A323">
        <v>322</v>
      </c>
      <c r="B323" s="2" t="s">
        <v>14</v>
      </c>
      <c r="C323" s="2" t="s">
        <v>14</v>
      </c>
      <c r="D323">
        <v>17500</v>
      </c>
      <c r="E323">
        <v>4</v>
      </c>
      <c r="F323">
        <v>2001</v>
      </c>
      <c r="G323">
        <v>1</v>
      </c>
      <c r="H323">
        <v>37</v>
      </c>
      <c r="I323">
        <v>2009</v>
      </c>
      <c r="J323" s="2" t="s">
        <v>16</v>
      </c>
    </row>
    <row r="324" spans="1:10" x14ac:dyDescent="0.2">
      <c r="A324">
        <v>323</v>
      </c>
      <c r="B324" s="2" t="s">
        <v>17</v>
      </c>
      <c r="C324" s="2" t="s">
        <v>13</v>
      </c>
      <c r="D324">
        <v>8400</v>
      </c>
      <c r="E324">
        <v>4</v>
      </c>
      <c r="F324">
        <v>2012</v>
      </c>
      <c r="G324">
        <v>1</v>
      </c>
      <c r="H324">
        <v>5</v>
      </c>
      <c r="I324">
        <v>2013</v>
      </c>
      <c r="J324" s="2" t="s">
        <v>18</v>
      </c>
    </row>
    <row r="325" spans="1:10" x14ac:dyDescent="0.2">
      <c r="A325">
        <v>324</v>
      </c>
      <c r="B325" s="2" t="s">
        <v>14</v>
      </c>
      <c r="C325" s="2" t="s">
        <v>14</v>
      </c>
      <c r="D325">
        <v>13140</v>
      </c>
      <c r="G325">
        <v>1</v>
      </c>
      <c r="H325">
        <v>14</v>
      </c>
      <c r="I325">
        <v>2011</v>
      </c>
      <c r="J325" s="2" t="s">
        <v>16</v>
      </c>
    </row>
    <row r="326" spans="1:10" x14ac:dyDescent="0.2">
      <c r="A326">
        <v>325</v>
      </c>
      <c r="B326" s="2" t="s">
        <v>14</v>
      </c>
      <c r="C326" s="2" t="s">
        <v>13</v>
      </c>
      <c r="D326">
        <v>350</v>
      </c>
      <c r="E326">
        <v>3</v>
      </c>
      <c r="F326">
        <v>2011</v>
      </c>
      <c r="G326">
        <v>1</v>
      </c>
      <c r="H326">
        <v>22</v>
      </c>
      <c r="I326">
        <v>2011</v>
      </c>
      <c r="J326" s="2" t="s">
        <v>18</v>
      </c>
    </row>
    <row r="327" spans="1:10" x14ac:dyDescent="0.2">
      <c r="A327">
        <v>326</v>
      </c>
      <c r="B327" s="2" t="s">
        <v>17</v>
      </c>
      <c r="C327" s="2" t="s">
        <v>14</v>
      </c>
      <c r="D327">
        <v>10070</v>
      </c>
      <c r="E327">
        <v>5</v>
      </c>
      <c r="F327">
        <v>2015</v>
      </c>
      <c r="G327">
        <v>1</v>
      </c>
      <c r="H327">
        <v>31</v>
      </c>
      <c r="I327">
        <v>2013</v>
      </c>
      <c r="J327" s="2" t="s">
        <v>18</v>
      </c>
    </row>
    <row r="328" spans="1:10" x14ac:dyDescent="0.2">
      <c r="A328">
        <v>327</v>
      </c>
      <c r="B328" s="2" t="s">
        <v>13</v>
      </c>
      <c r="C328" s="2" t="s">
        <v>13</v>
      </c>
      <c r="D328">
        <v>1390</v>
      </c>
      <c r="E328">
        <v>12</v>
      </c>
      <c r="F328">
        <v>2004</v>
      </c>
      <c r="G328">
        <v>0</v>
      </c>
      <c r="H328">
        <v>0</v>
      </c>
      <c r="I328">
        <v>0</v>
      </c>
      <c r="J328" s="2" t="s">
        <v>15</v>
      </c>
    </row>
    <row r="329" spans="1:10" x14ac:dyDescent="0.2">
      <c r="A329">
        <v>328</v>
      </c>
      <c r="B329" s="2" t="s">
        <v>14</v>
      </c>
      <c r="C329" s="2" t="s">
        <v>14</v>
      </c>
      <c r="D329">
        <v>3130</v>
      </c>
      <c r="E329">
        <v>7</v>
      </c>
      <c r="F329">
        <v>2002</v>
      </c>
      <c r="G329">
        <v>0</v>
      </c>
      <c r="H329">
        <v>0</v>
      </c>
      <c r="I329">
        <v>0</v>
      </c>
      <c r="J329" s="2" t="s">
        <v>15</v>
      </c>
    </row>
    <row r="330" spans="1:10" x14ac:dyDescent="0.2">
      <c r="A330">
        <v>329</v>
      </c>
      <c r="B330" s="2" t="s">
        <v>14</v>
      </c>
      <c r="C330" s="2" t="s">
        <v>14</v>
      </c>
      <c r="D330">
        <v>1310</v>
      </c>
      <c r="E330">
        <v>6</v>
      </c>
      <c r="F330">
        <v>1990</v>
      </c>
      <c r="G330">
        <v>1</v>
      </c>
      <c r="H330">
        <v>22</v>
      </c>
      <c r="I330">
        <v>2012</v>
      </c>
      <c r="J330" s="2" t="s">
        <v>19</v>
      </c>
    </row>
    <row r="331" spans="1:10" x14ac:dyDescent="0.2">
      <c r="A331">
        <v>330</v>
      </c>
      <c r="B331" s="2" t="s">
        <v>14</v>
      </c>
      <c r="C331" s="2" t="s">
        <v>13</v>
      </c>
      <c r="D331">
        <v>370</v>
      </c>
      <c r="G331">
        <v>1</v>
      </c>
      <c r="H331">
        <v>22</v>
      </c>
      <c r="I331">
        <v>2012</v>
      </c>
      <c r="J331" s="2" t="s">
        <v>19</v>
      </c>
    </row>
    <row r="332" spans="1:10" x14ac:dyDescent="0.2">
      <c r="A332">
        <v>331</v>
      </c>
      <c r="B332" s="2" t="s">
        <v>14</v>
      </c>
      <c r="C332" s="2" t="s">
        <v>13</v>
      </c>
      <c r="D332">
        <v>670</v>
      </c>
      <c r="G332">
        <v>1</v>
      </c>
      <c r="H332">
        <v>14</v>
      </c>
      <c r="I332">
        <v>2015</v>
      </c>
      <c r="J332" s="2" t="s">
        <v>16</v>
      </c>
    </row>
    <row r="333" spans="1:10" x14ac:dyDescent="0.2">
      <c r="A333">
        <v>332</v>
      </c>
      <c r="B333" s="2" t="s">
        <v>14</v>
      </c>
      <c r="C333" s="2" t="s">
        <v>14</v>
      </c>
      <c r="D333">
        <v>1840</v>
      </c>
      <c r="E333">
        <v>3</v>
      </c>
      <c r="F333">
        <v>2006</v>
      </c>
      <c r="G333">
        <v>0</v>
      </c>
      <c r="H333">
        <v>0</v>
      </c>
      <c r="I333">
        <v>0</v>
      </c>
      <c r="J333" s="2" t="s">
        <v>15</v>
      </c>
    </row>
    <row r="334" spans="1:10" x14ac:dyDescent="0.2">
      <c r="A334">
        <v>333</v>
      </c>
      <c r="B334" s="2" t="s">
        <v>14</v>
      </c>
      <c r="C334" s="2" t="s">
        <v>13</v>
      </c>
      <c r="D334">
        <v>3720</v>
      </c>
      <c r="E334">
        <v>2</v>
      </c>
      <c r="F334">
        <v>2010</v>
      </c>
      <c r="G334">
        <v>0</v>
      </c>
      <c r="H334">
        <v>0</v>
      </c>
      <c r="I334">
        <v>0</v>
      </c>
      <c r="J334" s="2" t="s">
        <v>15</v>
      </c>
    </row>
    <row r="335" spans="1:10" x14ac:dyDescent="0.2">
      <c r="A335">
        <v>334</v>
      </c>
      <c r="B335" s="2" t="s">
        <v>17</v>
      </c>
      <c r="C335" s="2" t="s">
        <v>13</v>
      </c>
      <c r="D335">
        <v>4040</v>
      </c>
      <c r="E335">
        <v>8</v>
      </c>
      <c r="F335">
        <v>2008</v>
      </c>
      <c r="G335">
        <v>1</v>
      </c>
      <c r="H335">
        <v>18</v>
      </c>
      <c r="I335">
        <v>2013</v>
      </c>
      <c r="J335" s="2" t="s">
        <v>19</v>
      </c>
    </row>
    <row r="336" spans="1:10" x14ac:dyDescent="0.2">
      <c r="A336">
        <v>335</v>
      </c>
      <c r="B336" s="2" t="s">
        <v>20</v>
      </c>
      <c r="C336" s="2" t="s">
        <v>14</v>
      </c>
      <c r="D336">
        <v>90</v>
      </c>
      <c r="G336">
        <v>1</v>
      </c>
      <c r="H336">
        <v>31</v>
      </c>
      <c r="I336">
        <v>2013</v>
      </c>
      <c r="J336" s="2" t="s">
        <v>16</v>
      </c>
    </row>
    <row r="337" spans="1:10" x14ac:dyDescent="0.2">
      <c r="A337">
        <v>336</v>
      </c>
      <c r="B337" s="2" t="s">
        <v>14</v>
      </c>
      <c r="C337" s="2" t="s">
        <v>14</v>
      </c>
      <c r="D337">
        <v>190</v>
      </c>
      <c r="E337">
        <v>7</v>
      </c>
      <c r="F337">
        <v>2014</v>
      </c>
      <c r="G337">
        <v>0</v>
      </c>
      <c r="H337">
        <v>0</v>
      </c>
      <c r="I337">
        <v>0</v>
      </c>
      <c r="J337" s="2" t="s">
        <v>15</v>
      </c>
    </row>
    <row r="338" spans="1:10" x14ac:dyDescent="0.2">
      <c r="A338">
        <v>337</v>
      </c>
      <c r="B338" s="2" t="s">
        <v>17</v>
      </c>
      <c r="C338" s="2" t="s">
        <v>13</v>
      </c>
      <c r="D338">
        <v>10600</v>
      </c>
      <c r="E338">
        <v>7</v>
      </c>
      <c r="F338">
        <v>2005</v>
      </c>
      <c r="G338">
        <v>1</v>
      </c>
      <c r="H338">
        <v>45</v>
      </c>
      <c r="I338">
        <v>2014</v>
      </c>
      <c r="J338" s="2" t="s">
        <v>18</v>
      </c>
    </row>
    <row r="339" spans="1:10" x14ac:dyDescent="0.2">
      <c r="A339">
        <v>338</v>
      </c>
      <c r="B339" s="2" t="s">
        <v>14</v>
      </c>
      <c r="C339" s="2" t="s">
        <v>13</v>
      </c>
      <c r="D339">
        <v>1590</v>
      </c>
      <c r="G339">
        <v>1</v>
      </c>
      <c r="H339">
        <v>37</v>
      </c>
      <c r="I339">
        <v>2009</v>
      </c>
      <c r="J339" s="2" t="s">
        <v>16</v>
      </c>
    </row>
    <row r="340" spans="1:10" x14ac:dyDescent="0.2">
      <c r="A340">
        <v>339</v>
      </c>
      <c r="B340" s="2" t="s">
        <v>14</v>
      </c>
      <c r="C340" s="2" t="s">
        <v>13</v>
      </c>
      <c r="D340">
        <v>2280</v>
      </c>
      <c r="G340">
        <v>1</v>
      </c>
      <c r="H340">
        <v>10</v>
      </c>
      <c r="I340">
        <v>2013</v>
      </c>
      <c r="J340" s="2" t="s">
        <v>19</v>
      </c>
    </row>
    <row r="341" spans="1:10" x14ac:dyDescent="0.2">
      <c r="A341">
        <v>340</v>
      </c>
      <c r="B341" s="2" t="s">
        <v>14</v>
      </c>
      <c r="C341" s="2" t="s">
        <v>13</v>
      </c>
      <c r="D341">
        <v>8080</v>
      </c>
      <c r="G341">
        <v>0</v>
      </c>
      <c r="H341">
        <v>0</v>
      </c>
      <c r="I341">
        <v>0</v>
      </c>
      <c r="J341" s="2" t="s">
        <v>15</v>
      </c>
    </row>
    <row r="342" spans="1:10" x14ac:dyDescent="0.2">
      <c r="A342">
        <v>341</v>
      </c>
      <c r="B342" s="2" t="s">
        <v>14</v>
      </c>
      <c r="C342" s="2" t="s">
        <v>14</v>
      </c>
      <c r="D342">
        <v>190</v>
      </c>
      <c r="E342">
        <v>9</v>
      </c>
      <c r="F342">
        <v>2011</v>
      </c>
      <c r="G342">
        <v>0</v>
      </c>
      <c r="H342">
        <v>0</v>
      </c>
      <c r="I342">
        <v>0</v>
      </c>
      <c r="J342" s="2" t="s">
        <v>15</v>
      </c>
    </row>
    <row r="343" spans="1:10" x14ac:dyDescent="0.2">
      <c r="A343">
        <v>342</v>
      </c>
      <c r="B343" s="2" t="s">
        <v>17</v>
      </c>
      <c r="C343" s="2" t="s">
        <v>13</v>
      </c>
      <c r="D343">
        <v>15770</v>
      </c>
      <c r="G343">
        <v>1</v>
      </c>
      <c r="H343">
        <v>40</v>
      </c>
      <c r="I343">
        <v>2014</v>
      </c>
      <c r="J343" s="2" t="s">
        <v>16</v>
      </c>
    </row>
    <row r="344" spans="1:10" x14ac:dyDescent="0.2">
      <c r="A344">
        <v>343</v>
      </c>
      <c r="B344" s="2" t="s">
        <v>17</v>
      </c>
      <c r="C344" s="2" t="s">
        <v>14</v>
      </c>
      <c r="D344">
        <v>18650</v>
      </c>
      <c r="E344">
        <v>4</v>
      </c>
      <c r="F344">
        <v>2004</v>
      </c>
      <c r="G344">
        <v>1</v>
      </c>
      <c r="H344">
        <v>14</v>
      </c>
      <c r="I344">
        <v>2014</v>
      </c>
      <c r="J344" s="2" t="s">
        <v>16</v>
      </c>
    </row>
    <row r="345" spans="1:10" x14ac:dyDescent="0.2">
      <c r="A345">
        <v>344</v>
      </c>
      <c r="B345" s="2" t="s">
        <v>14</v>
      </c>
      <c r="C345" s="2" t="s">
        <v>13</v>
      </c>
      <c r="D345">
        <v>300</v>
      </c>
      <c r="E345">
        <v>4</v>
      </c>
      <c r="F345">
        <v>2011</v>
      </c>
      <c r="G345">
        <v>1</v>
      </c>
      <c r="H345">
        <v>14</v>
      </c>
      <c r="I345">
        <v>2011</v>
      </c>
      <c r="J345" s="2" t="s">
        <v>16</v>
      </c>
    </row>
    <row r="346" spans="1:10" x14ac:dyDescent="0.2">
      <c r="A346">
        <v>345</v>
      </c>
      <c r="B346" s="2" t="s">
        <v>14</v>
      </c>
      <c r="C346" s="2" t="s">
        <v>14</v>
      </c>
      <c r="D346">
        <v>120</v>
      </c>
      <c r="G346">
        <v>1</v>
      </c>
      <c r="H346">
        <v>22</v>
      </c>
      <c r="I346">
        <v>2012</v>
      </c>
      <c r="J346" s="2" t="s">
        <v>16</v>
      </c>
    </row>
    <row r="347" spans="1:10" x14ac:dyDescent="0.2">
      <c r="A347">
        <v>346</v>
      </c>
      <c r="B347" s="2" t="s">
        <v>14</v>
      </c>
      <c r="C347" s="2" t="s">
        <v>13</v>
      </c>
      <c r="D347">
        <v>8090</v>
      </c>
      <c r="G347">
        <v>0</v>
      </c>
      <c r="H347">
        <v>0</v>
      </c>
      <c r="I347">
        <v>0</v>
      </c>
      <c r="J347" s="2" t="s">
        <v>15</v>
      </c>
    </row>
    <row r="348" spans="1:10" x14ac:dyDescent="0.2">
      <c r="A348">
        <v>347</v>
      </c>
      <c r="B348" s="2" t="s">
        <v>17</v>
      </c>
      <c r="C348" s="2" t="s">
        <v>13</v>
      </c>
      <c r="D348">
        <v>9360</v>
      </c>
      <c r="E348">
        <v>7</v>
      </c>
      <c r="F348">
        <v>2013</v>
      </c>
      <c r="G348">
        <v>1</v>
      </c>
      <c r="H348">
        <v>22</v>
      </c>
      <c r="I348">
        <v>2012</v>
      </c>
      <c r="J348" s="2" t="s">
        <v>19</v>
      </c>
    </row>
    <row r="349" spans="1:10" x14ac:dyDescent="0.2">
      <c r="A349">
        <v>348</v>
      </c>
      <c r="B349" s="2" t="s">
        <v>14</v>
      </c>
      <c r="C349" s="2" t="s">
        <v>14</v>
      </c>
      <c r="D349">
        <v>16490</v>
      </c>
      <c r="G349">
        <v>1</v>
      </c>
      <c r="H349">
        <v>22</v>
      </c>
      <c r="I349">
        <v>2012</v>
      </c>
      <c r="J349" s="2" t="s">
        <v>16</v>
      </c>
    </row>
    <row r="350" spans="1:10" x14ac:dyDescent="0.2">
      <c r="A350">
        <v>349</v>
      </c>
      <c r="B350" s="2" t="s">
        <v>13</v>
      </c>
      <c r="C350" s="2" t="s">
        <v>13</v>
      </c>
      <c r="D350">
        <v>1490</v>
      </c>
      <c r="E350">
        <v>4</v>
      </c>
      <c r="F350">
        <v>2009</v>
      </c>
      <c r="G350">
        <v>0</v>
      </c>
      <c r="H350">
        <v>0</v>
      </c>
      <c r="I350">
        <v>0</v>
      </c>
      <c r="J350" s="2" t="s">
        <v>15</v>
      </c>
    </row>
    <row r="351" spans="1:10" x14ac:dyDescent="0.2">
      <c r="A351">
        <v>350</v>
      </c>
      <c r="B351" s="2" t="s">
        <v>17</v>
      </c>
      <c r="C351" s="2" t="s">
        <v>14</v>
      </c>
      <c r="D351">
        <v>8880</v>
      </c>
      <c r="G351">
        <v>1</v>
      </c>
      <c r="H351">
        <v>14</v>
      </c>
      <c r="I351">
        <v>2011</v>
      </c>
      <c r="J351" s="2" t="s">
        <v>16</v>
      </c>
    </row>
    <row r="352" spans="1:10" x14ac:dyDescent="0.2">
      <c r="A352">
        <v>351</v>
      </c>
      <c r="B352" s="2" t="s">
        <v>14</v>
      </c>
      <c r="C352" s="2" t="s">
        <v>14</v>
      </c>
      <c r="D352">
        <v>5290</v>
      </c>
      <c r="E352">
        <v>11</v>
      </c>
      <c r="F352">
        <v>2012</v>
      </c>
      <c r="G352">
        <v>1</v>
      </c>
      <c r="H352">
        <v>5</v>
      </c>
      <c r="I352">
        <v>2013</v>
      </c>
      <c r="J352" s="2" t="s">
        <v>18</v>
      </c>
    </row>
    <row r="353" spans="1:10" x14ac:dyDescent="0.2">
      <c r="A353">
        <v>352</v>
      </c>
      <c r="B353" s="2" t="s">
        <v>17</v>
      </c>
      <c r="C353" s="2" t="s">
        <v>13</v>
      </c>
      <c r="D353">
        <v>6360</v>
      </c>
      <c r="G353">
        <v>1</v>
      </c>
      <c r="H353">
        <v>40</v>
      </c>
      <c r="I353">
        <v>2012</v>
      </c>
      <c r="J353" s="2" t="s">
        <v>19</v>
      </c>
    </row>
    <row r="354" spans="1:10" x14ac:dyDescent="0.2">
      <c r="A354">
        <v>353</v>
      </c>
      <c r="B354" s="2" t="s">
        <v>20</v>
      </c>
      <c r="C354" s="2" t="s">
        <v>20</v>
      </c>
      <c r="D354">
        <v>900</v>
      </c>
      <c r="G354">
        <v>1</v>
      </c>
      <c r="H354">
        <v>14</v>
      </c>
      <c r="I354">
        <v>2013</v>
      </c>
      <c r="J354" s="2" t="s">
        <v>18</v>
      </c>
    </row>
    <row r="355" spans="1:10" x14ac:dyDescent="0.2">
      <c r="A355">
        <v>354</v>
      </c>
      <c r="B355" s="2" t="s">
        <v>17</v>
      </c>
      <c r="C355" s="2" t="s">
        <v>13</v>
      </c>
      <c r="D355">
        <v>1500</v>
      </c>
      <c r="E355">
        <v>10</v>
      </c>
      <c r="F355">
        <v>2005</v>
      </c>
      <c r="G355">
        <v>0</v>
      </c>
      <c r="H355">
        <v>0</v>
      </c>
      <c r="I355">
        <v>0</v>
      </c>
      <c r="J355" s="2" t="s">
        <v>15</v>
      </c>
    </row>
    <row r="356" spans="1:10" x14ac:dyDescent="0.2">
      <c r="A356">
        <v>355</v>
      </c>
      <c r="B356" s="2" t="s">
        <v>14</v>
      </c>
      <c r="C356" s="2" t="s">
        <v>13</v>
      </c>
      <c r="D356">
        <v>9720</v>
      </c>
      <c r="E356">
        <v>8</v>
      </c>
      <c r="F356">
        <v>2013</v>
      </c>
      <c r="G356">
        <v>0</v>
      </c>
      <c r="H356">
        <v>0</v>
      </c>
      <c r="I356">
        <v>0</v>
      </c>
      <c r="J356" s="2" t="s">
        <v>15</v>
      </c>
    </row>
    <row r="357" spans="1:10" x14ac:dyDescent="0.2">
      <c r="A357">
        <v>356</v>
      </c>
      <c r="B357" s="2" t="s">
        <v>17</v>
      </c>
      <c r="C357" s="2" t="s">
        <v>13</v>
      </c>
      <c r="D357">
        <v>8970</v>
      </c>
      <c r="E357">
        <v>12</v>
      </c>
      <c r="F357">
        <v>2007</v>
      </c>
      <c r="G357">
        <v>1</v>
      </c>
      <c r="H357">
        <v>22</v>
      </c>
      <c r="I357">
        <v>2012</v>
      </c>
      <c r="J357" s="2" t="s">
        <v>18</v>
      </c>
    </row>
    <row r="358" spans="1:10" x14ac:dyDescent="0.2">
      <c r="A358">
        <v>357</v>
      </c>
      <c r="B358" s="2" t="s">
        <v>14</v>
      </c>
      <c r="C358" s="2" t="s">
        <v>14</v>
      </c>
      <c r="D358">
        <v>2060</v>
      </c>
      <c r="E358">
        <v>10</v>
      </c>
      <c r="F358">
        <v>2008</v>
      </c>
      <c r="G358">
        <v>0</v>
      </c>
      <c r="H358">
        <v>0</v>
      </c>
      <c r="I358">
        <v>0</v>
      </c>
      <c r="J358" s="2" t="s">
        <v>15</v>
      </c>
    </row>
    <row r="359" spans="1:10" x14ac:dyDescent="0.2">
      <c r="A359">
        <v>358</v>
      </c>
      <c r="B359" s="2" t="s">
        <v>14</v>
      </c>
      <c r="C359" s="2" t="s">
        <v>14</v>
      </c>
      <c r="D359">
        <v>2890</v>
      </c>
      <c r="E359">
        <v>10</v>
      </c>
      <c r="F359">
        <v>2003</v>
      </c>
      <c r="G359">
        <v>0</v>
      </c>
      <c r="H359">
        <v>0</v>
      </c>
      <c r="I359">
        <v>0</v>
      </c>
      <c r="J359" s="2" t="s">
        <v>15</v>
      </c>
    </row>
    <row r="360" spans="1:10" x14ac:dyDescent="0.2">
      <c r="A360">
        <v>359</v>
      </c>
      <c r="B360" s="2" t="s">
        <v>17</v>
      </c>
      <c r="C360" s="2" t="s">
        <v>13</v>
      </c>
      <c r="D360">
        <v>4370</v>
      </c>
      <c r="G360">
        <v>0</v>
      </c>
      <c r="H360">
        <v>0</v>
      </c>
      <c r="I360">
        <v>0</v>
      </c>
      <c r="J360" s="2" t="s">
        <v>15</v>
      </c>
    </row>
    <row r="361" spans="1:10" x14ac:dyDescent="0.2">
      <c r="A361">
        <v>360</v>
      </c>
      <c r="B361" s="2" t="s">
        <v>14</v>
      </c>
      <c r="C361" s="2" t="s">
        <v>14</v>
      </c>
      <c r="D361">
        <v>2040</v>
      </c>
      <c r="E361">
        <v>6</v>
      </c>
      <c r="F361">
        <v>2007</v>
      </c>
      <c r="G361">
        <v>0</v>
      </c>
      <c r="H361">
        <v>0</v>
      </c>
      <c r="I361">
        <v>0</v>
      </c>
      <c r="J361" s="2" t="s">
        <v>15</v>
      </c>
    </row>
    <row r="362" spans="1:10" x14ac:dyDescent="0.2">
      <c r="A362">
        <v>361</v>
      </c>
      <c r="B362" s="2" t="s">
        <v>13</v>
      </c>
      <c r="C362" s="2" t="s">
        <v>13</v>
      </c>
      <c r="D362">
        <v>4490</v>
      </c>
      <c r="E362">
        <v>5</v>
      </c>
      <c r="F362">
        <v>2014</v>
      </c>
      <c r="G362">
        <v>1</v>
      </c>
      <c r="H362">
        <v>5</v>
      </c>
      <c r="I362">
        <v>2013</v>
      </c>
      <c r="J362" s="2" t="s">
        <v>18</v>
      </c>
    </row>
    <row r="363" spans="1:10" x14ac:dyDescent="0.2">
      <c r="A363">
        <v>362</v>
      </c>
      <c r="B363" s="2" t="s">
        <v>13</v>
      </c>
      <c r="C363" s="2" t="s">
        <v>13</v>
      </c>
      <c r="D363">
        <v>340</v>
      </c>
      <c r="G363">
        <v>0</v>
      </c>
      <c r="H363">
        <v>0</v>
      </c>
      <c r="I363">
        <v>0</v>
      </c>
      <c r="J363" s="2" t="s">
        <v>15</v>
      </c>
    </row>
    <row r="364" spans="1:10" x14ac:dyDescent="0.2">
      <c r="A364">
        <v>363</v>
      </c>
      <c r="B364" s="2" t="s">
        <v>14</v>
      </c>
      <c r="C364" s="2" t="s">
        <v>14</v>
      </c>
      <c r="D364">
        <v>250</v>
      </c>
      <c r="E364">
        <v>9</v>
      </c>
      <c r="F364">
        <v>2009</v>
      </c>
      <c r="G364">
        <v>0</v>
      </c>
      <c r="H364">
        <v>0</v>
      </c>
      <c r="I364">
        <v>0</v>
      </c>
      <c r="J364" s="2" t="s">
        <v>15</v>
      </c>
    </row>
    <row r="365" spans="1:10" x14ac:dyDescent="0.2">
      <c r="A365">
        <v>364</v>
      </c>
      <c r="B365" s="2" t="s">
        <v>14</v>
      </c>
      <c r="C365" s="2" t="s">
        <v>13</v>
      </c>
      <c r="D365">
        <v>13620</v>
      </c>
      <c r="G365">
        <v>1</v>
      </c>
      <c r="H365">
        <v>10</v>
      </c>
      <c r="I365">
        <v>2014</v>
      </c>
      <c r="J365" s="2" t="s">
        <v>19</v>
      </c>
    </row>
    <row r="366" spans="1:10" x14ac:dyDescent="0.2">
      <c r="A366">
        <v>365</v>
      </c>
      <c r="B366" s="2" t="s">
        <v>13</v>
      </c>
      <c r="C366" s="2" t="s">
        <v>14</v>
      </c>
      <c r="D366">
        <v>2410</v>
      </c>
      <c r="G366">
        <v>1</v>
      </c>
      <c r="H366">
        <v>45</v>
      </c>
      <c r="I366">
        <v>2009</v>
      </c>
      <c r="J366" s="2" t="s">
        <v>18</v>
      </c>
    </row>
    <row r="367" spans="1:10" x14ac:dyDescent="0.2">
      <c r="A367">
        <v>366</v>
      </c>
      <c r="B367" s="2" t="s">
        <v>17</v>
      </c>
      <c r="C367" s="2" t="s">
        <v>13</v>
      </c>
      <c r="D367">
        <v>6470</v>
      </c>
      <c r="E367">
        <v>12</v>
      </c>
      <c r="F367">
        <v>2004</v>
      </c>
      <c r="G367">
        <v>0</v>
      </c>
      <c r="H367">
        <v>0</v>
      </c>
      <c r="I367">
        <v>0</v>
      </c>
      <c r="J367" s="2" t="s">
        <v>15</v>
      </c>
    </row>
    <row r="368" spans="1:10" x14ac:dyDescent="0.2">
      <c r="A368">
        <v>367</v>
      </c>
      <c r="B368" s="2" t="s">
        <v>17</v>
      </c>
      <c r="C368" s="2" t="s">
        <v>13</v>
      </c>
      <c r="D368">
        <v>2640</v>
      </c>
      <c r="E368">
        <v>9</v>
      </c>
      <c r="F368">
        <v>2012</v>
      </c>
      <c r="G368">
        <v>0</v>
      </c>
      <c r="H368">
        <v>0</v>
      </c>
      <c r="I368">
        <v>0</v>
      </c>
      <c r="J368" s="2" t="s">
        <v>15</v>
      </c>
    </row>
    <row r="369" spans="1:10" x14ac:dyDescent="0.2">
      <c r="A369">
        <v>368</v>
      </c>
      <c r="B369" s="2" t="s">
        <v>17</v>
      </c>
      <c r="C369" s="2" t="s">
        <v>13</v>
      </c>
      <c r="D369">
        <v>1450</v>
      </c>
      <c r="E369">
        <v>4</v>
      </c>
      <c r="F369">
        <v>2005</v>
      </c>
      <c r="G369">
        <v>1</v>
      </c>
      <c r="H369">
        <v>45</v>
      </c>
      <c r="I369">
        <v>2009</v>
      </c>
      <c r="J369" s="2" t="s">
        <v>18</v>
      </c>
    </row>
    <row r="370" spans="1:10" x14ac:dyDescent="0.2">
      <c r="A370">
        <v>369</v>
      </c>
      <c r="B370" s="2" t="s">
        <v>17</v>
      </c>
      <c r="C370" s="2" t="s">
        <v>13</v>
      </c>
      <c r="D370">
        <v>5870</v>
      </c>
      <c r="E370">
        <v>4</v>
      </c>
      <c r="F370">
        <v>2014</v>
      </c>
      <c r="G370">
        <v>0</v>
      </c>
      <c r="H370">
        <v>0</v>
      </c>
      <c r="I370">
        <v>0</v>
      </c>
      <c r="J370" s="2" t="s">
        <v>15</v>
      </c>
    </row>
    <row r="371" spans="1:10" x14ac:dyDescent="0.2">
      <c r="A371">
        <v>370</v>
      </c>
      <c r="B371" s="2" t="s">
        <v>17</v>
      </c>
      <c r="C371" s="2" t="s">
        <v>14</v>
      </c>
      <c r="D371">
        <v>8250</v>
      </c>
      <c r="E371">
        <v>10</v>
      </c>
      <c r="F371">
        <v>2000</v>
      </c>
      <c r="G371">
        <v>1</v>
      </c>
      <c r="H371">
        <v>31</v>
      </c>
      <c r="I371">
        <v>2009</v>
      </c>
      <c r="J371" s="2" t="s">
        <v>16</v>
      </c>
    </row>
    <row r="372" spans="1:10" x14ac:dyDescent="0.2">
      <c r="A372">
        <v>371</v>
      </c>
      <c r="B372" s="2" t="s">
        <v>17</v>
      </c>
      <c r="C372" s="2" t="s">
        <v>13</v>
      </c>
      <c r="D372">
        <v>1970</v>
      </c>
      <c r="E372">
        <v>7</v>
      </c>
      <c r="F372">
        <v>2009</v>
      </c>
      <c r="G372">
        <v>1</v>
      </c>
      <c r="H372">
        <v>45</v>
      </c>
      <c r="I372">
        <v>2014</v>
      </c>
      <c r="J372" s="2" t="s">
        <v>18</v>
      </c>
    </row>
    <row r="373" spans="1:10" x14ac:dyDescent="0.2">
      <c r="A373">
        <v>372</v>
      </c>
      <c r="B373" s="2" t="s">
        <v>17</v>
      </c>
      <c r="C373" s="2" t="s">
        <v>13</v>
      </c>
      <c r="D373">
        <v>4880</v>
      </c>
      <c r="E373">
        <v>8</v>
      </c>
      <c r="F373">
        <v>2010</v>
      </c>
      <c r="G373">
        <v>1</v>
      </c>
      <c r="H373">
        <v>18</v>
      </c>
      <c r="I373">
        <v>2014</v>
      </c>
      <c r="J373" s="2" t="s">
        <v>16</v>
      </c>
    </row>
    <row r="374" spans="1:10" x14ac:dyDescent="0.2">
      <c r="A374">
        <v>373</v>
      </c>
      <c r="B374" s="2" t="s">
        <v>17</v>
      </c>
      <c r="C374" s="2" t="s">
        <v>13</v>
      </c>
      <c r="D374">
        <v>11120</v>
      </c>
      <c r="G374">
        <v>1</v>
      </c>
      <c r="H374">
        <v>22</v>
      </c>
      <c r="I374">
        <v>2012</v>
      </c>
      <c r="J374" s="2" t="s">
        <v>16</v>
      </c>
    </row>
    <row r="375" spans="1:10" x14ac:dyDescent="0.2">
      <c r="A375">
        <v>374</v>
      </c>
      <c r="B375" s="2" t="s">
        <v>14</v>
      </c>
      <c r="C375" s="2" t="s">
        <v>14</v>
      </c>
      <c r="D375">
        <v>1150</v>
      </c>
      <c r="E375">
        <v>9</v>
      </c>
      <c r="F375">
        <v>2007</v>
      </c>
      <c r="G375">
        <v>0</v>
      </c>
      <c r="H375">
        <v>0</v>
      </c>
      <c r="I375">
        <v>0</v>
      </c>
      <c r="J375" s="2" t="s">
        <v>15</v>
      </c>
    </row>
    <row r="376" spans="1:10" x14ac:dyDescent="0.2">
      <c r="A376">
        <v>375</v>
      </c>
      <c r="B376" s="2" t="s">
        <v>14</v>
      </c>
      <c r="C376" s="2" t="s">
        <v>13</v>
      </c>
      <c r="D376">
        <v>15710</v>
      </c>
      <c r="E376">
        <v>2</v>
      </c>
      <c r="F376">
        <v>2013</v>
      </c>
      <c r="G376">
        <v>1</v>
      </c>
      <c r="H376">
        <v>37</v>
      </c>
      <c r="I376">
        <v>2009</v>
      </c>
      <c r="J376" s="2" t="s">
        <v>16</v>
      </c>
    </row>
    <row r="377" spans="1:10" x14ac:dyDescent="0.2">
      <c r="A377">
        <v>376</v>
      </c>
      <c r="B377" s="2" t="s">
        <v>14</v>
      </c>
      <c r="C377" s="2" t="s">
        <v>14</v>
      </c>
      <c r="D377">
        <v>160</v>
      </c>
      <c r="E377">
        <v>8</v>
      </c>
      <c r="F377">
        <v>2012</v>
      </c>
      <c r="G377">
        <v>0</v>
      </c>
      <c r="H377">
        <v>0</v>
      </c>
      <c r="I377">
        <v>0</v>
      </c>
      <c r="J377" s="2" t="s">
        <v>15</v>
      </c>
    </row>
    <row r="378" spans="1:10" x14ac:dyDescent="0.2">
      <c r="A378">
        <v>377</v>
      </c>
      <c r="B378" s="2" t="s">
        <v>14</v>
      </c>
      <c r="C378" s="2" t="s">
        <v>13</v>
      </c>
      <c r="D378">
        <v>100</v>
      </c>
      <c r="E378">
        <v>6</v>
      </c>
      <c r="F378">
        <v>2010</v>
      </c>
      <c r="G378">
        <v>1</v>
      </c>
      <c r="H378">
        <v>18</v>
      </c>
      <c r="I378">
        <v>2010</v>
      </c>
      <c r="J378" s="2" t="s">
        <v>18</v>
      </c>
    </row>
    <row r="379" spans="1:10" x14ac:dyDescent="0.2">
      <c r="A379">
        <v>378</v>
      </c>
      <c r="B379" s="2" t="s">
        <v>14</v>
      </c>
      <c r="C379" s="2" t="s">
        <v>13</v>
      </c>
      <c r="D379">
        <v>2140</v>
      </c>
      <c r="E379">
        <v>8</v>
      </c>
      <c r="F379">
        <v>2012</v>
      </c>
      <c r="G379">
        <v>0</v>
      </c>
      <c r="H379">
        <v>0</v>
      </c>
      <c r="I379">
        <v>0</v>
      </c>
      <c r="J379" s="2" t="s">
        <v>15</v>
      </c>
    </row>
    <row r="380" spans="1:10" x14ac:dyDescent="0.2">
      <c r="A380">
        <v>379</v>
      </c>
      <c r="B380" s="2" t="s">
        <v>17</v>
      </c>
      <c r="C380" s="2" t="s">
        <v>14</v>
      </c>
      <c r="D380">
        <v>6630</v>
      </c>
      <c r="G380">
        <v>0</v>
      </c>
      <c r="H380">
        <v>0</v>
      </c>
      <c r="I380">
        <v>0</v>
      </c>
      <c r="J380" s="2" t="s">
        <v>15</v>
      </c>
    </row>
    <row r="381" spans="1:10" x14ac:dyDescent="0.2">
      <c r="A381">
        <v>380</v>
      </c>
      <c r="B381" s="2" t="s">
        <v>14</v>
      </c>
      <c r="C381" s="2" t="s">
        <v>14</v>
      </c>
      <c r="D381">
        <v>2240</v>
      </c>
      <c r="E381">
        <v>5</v>
      </c>
      <c r="F381">
        <v>2013</v>
      </c>
      <c r="G381">
        <v>1</v>
      </c>
      <c r="H381">
        <v>10</v>
      </c>
      <c r="I381">
        <v>2014</v>
      </c>
      <c r="J381" s="2" t="s">
        <v>19</v>
      </c>
    </row>
    <row r="382" spans="1:10" x14ac:dyDescent="0.2">
      <c r="A382">
        <v>381</v>
      </c>
      <c r="B382" s="2" t="s">
        <v>14</v>
      </c>
      <c r="C382" s="2" t="s">
        <v>14</v>
      </c>
      <c r="D382">
        <v>1800</v>
      </c>
      <c r="E382">
        <v>11</v>
      </c>
      <c r="F382">
        <v>2006</v>
      </c>
      <c r="G382">
        <v>1</v>
      </c>
      <c r="H382">
        <v>5</v>
      </c>
      <c r="I382">
        <v>2013</v>
      </c>
      <c r="J382" s="2" t="s">
        <v>18</v>
      </c>
    </row>
    <row r="383" spans="1:10" x14ac:dyDescent="0.2">
      <c r="A383">
        <v>382</v>
      </c>
      <c r="B383" s="2" t="s">
        <v>13</v>
      </c>
      <c r="C383" s="2" t="s">
        <v>13</v>
      </c>
      <c r="D383">
        <v>26130</v>
      </c>
      <c r="E383">
        <v>11</v>
      </c>
      <c r="F383">
        <v>2002</v>
      </c>
      <c r="G383">
        <v>0</v>
      </c>
      <c r="H383">
        <v>0</v>
      </c>
      <c r="I383">
        <v>0</v>
      </c>
      <c r="J383" s="2" t="s">
        <v>15</v>
      </c>
    </row>
    <row r="384" spans="1:10" x14ac:dyDescent="0.2">
      <c r="A384">
        <v>383</v>
      </c>
      <c r="B384" s="2" t="s">
        <v>14</v>
      </c>
      <c r="C384" s="2" t="s">
        <v>13</v>
      </c>
      <c r="D384">
        <v>350</v>
      </c>
      <c r="G384">
        <v>0</v>
      </c>
      <c r="H384">
        <v>0</v>
      </c>
      <c r="I384">
        <v>0</v>
      </c>
      <c r="J384" s="2" t="s">
        <v>15</v>
      </c>
    </row>
    <row r="385" spans="1:10" x14ac:dyDescent="0.2">
      <c r="A385">
        <v>384</v>
      </c>
      <c r="B385" s="2" t="s">
        <v>14</v>
      </c>
      <c r="C385" s="2" t="s">
        <v>13</v>
      </c>
      <c r="D385">
        <v>130</v>
      </c>
      <c r="G385">
        <v>1</v>
      </c>
      <c r="H385">
        <v>14</v>
      </c>
      <c r="I385">
        <v>2011</v>
      </c>
      <c r="J385" s="2" t="s">
        <v>16</v>
      </c>
    </row>
    <row r="386" spans="1:10" x14ac:dyDescent="0.2">
      <c r="A386">
        <v>385</v>
      </c>
      <c r="B386" s="2" t="s">
        <v>17</v>
      </c>
      <c r="C386" s="2" t="s">
        <v>14</v>
      </c>
      <c r="D386">
        <v>4580</v>
      </c>
      <c r="E386">
        <v>9</v>
      </c>
      <c r="F386">
        <v>2007</v>
      </c>
      <c r="G386">
        <v>0</v>
      </c>
      <c r="H386">
        <v>0</v>
      </c>
      <c r="I386">
        <v>0</v>
      </c>
      <c r="J386" s="2" t="s">
        <v>15</v>
      </c>
    </row>
    <row r="387" spans="1:10" x14ac:dyDescent="0.2">
      <c r="A387">
        <v>386</v>
      </c>
      <c r="B387" s="2" t="s">
        <v>17</v>
      </c>
      <c r="C387" s="2" t="s">
        <v>13</v>
      </c>
      <c r="D387">
        <v>1460</v>
      </c>
      <c r="E387">
        <v>4</v>
      </c>
      <c r="F387">
        <v>2014</v>
      </c>
      <c r="G387">
        <v>1</v>
      </c>
      <c r="H387">
        <v>31</v>
      </c>
      <c r="I387">
        <v>2013</v>
      </c>
      <c r="J387" s="2" t="s">
        <v>16</v>
      </c>
    </row>
    <row r="388" spans="1:10" x14ac:dyDescent="0.2">
      <c r="A388">
        <v>387</v>
      </c>
      <c r="B388" s="2" t="s">
        <v>13</v>
      </c>
      <c r="C388" s="2" t="s">
        <v>14</v>
      </c>
      <c r="D388">
        <v>210</v>
      </c>
      <c r="G388">
        <v>1</v>
      </c>
      <c r="H388">
        <v>36</v>
      </c>
      <c r="I388">
        <v>2013</v>
      </c>
      <c r="J388" s="2" t="s">
        <v>19</v>
      </c>
    </row>
    <row r="389" spans="1:10" x14ac:dyDescent="0.2">
      <c r="A389">
        <v>388</v>
      </c>
      <c r="B389" s="2" t="s">
        <v>14</v>
      </c>
      <c r="C389" s="2" t="s">
        <v>14</v>
      </c>
      <c r="D389">
        <v>2260</v>
      </c>
      <c r="G389">
        <v>0</v>
      </c>
      <c r="H389">
        <v>0</v>
      </c>
      <c r="I389">
        <v>0</v>
      </c>
      <c r="J389" s="2" t="s">
        <v>15</v>
      </c>
    </row>
    <row r="390" spans="1:10" x14ac:dyDescent="0.2">
      <c r="A390">
        <v>389</v>
      </c>
      <c r="B390" s="2" t="s">
        <v>14</v>
      </c>
      <c r="C390" s="2" t="s">
        <v>13</v>
      </c>
      <c r="D390">
        <v>6690</v>
      </c>
      <c r="E390">
        <v>8</v>
      </c>
      <c r="F390">
        <v>2011</v>
      </c>
      <c r="G390">
        <v>0</v>
      </c>
      <c r="H390">
        <v>0</v>
      </c>
      <c r="I390">
        <v>0</v>
      </c>
      <c r="J390" s="2" t="s">
        <v>15</v>
      </c>
    </row>
    <row r="391" spans="1:10" x14ac:dyDescent="0.2">
      <c r="A391">
        <v>390</v>
      </c>
      <c r="B391" s="2" t="s">
        <v>14</v>
      </c>
      <c r="C391" s="2" t="s">
        <v>13</v>
      </c>
      <c r="D391">
        <v>1600</v>
      </c>
      <c r="E391">
        <v>4</v>
      </c>
      <c r="F391">
        <v>2009</v>
      </c>
      <c r="G391">
        <v>0</v>
      </c>
      <c r="H391">
        <v>0</v>
      </c>
      <c r="I391">
        <v>0</v>
      </c>
      <c r="J391" s="2" t="s">
        <v>15</v>
      </c>
    </row>
    <row r="392" spans="1:10" x14ac:dyDescent="0.2">
      <c r="A392">
        <v>391</v>
      </c>
      <c r="B392" s="2" t="s">
        <v>14</v>
      </c>
      <c r="C392" s="2" t="s">
        <v>14</v>
      </c>
      <c r="D392">
        <v>460</v>
      </c>
      <c r="E392">
        <v>11</v>
      </c>
      <c r="F392">
        <v>2014</v>
      </c>
      <c r="G392">
        <v>1</v>
      </c>
      <c r="H392">
        <v>31</v>
      </c>
      <c r="I392">
        <v>2013</v>
      </c>
      <c r="J392" s="2" t="s">
        <v>18</v>
      </c>
    </row>
    <row r="393" spans="1:10" x14ac:dyDescent="0.2">
      <c r="A393">
        <v>392</v>
      </c>
      <c r="B393" s="2" t="s">
        <v>14</v>
      </c>
      <c r="C393" s="2" t="s">
        <v>14</v>
      </c>
      <c r="D393">
        <v>2120</v>
      </c>
      <c r="G393">
        <v>0</v>
      </c>
      <c r="H393">
        <v>0</v>
      </c>
      <c r="I393">
        <v>0</v>
      </c>
      <c r="J393" s="2" t="s">
        <v>15</v>
      </c>
    </row>
    <row r="394" spans="1:10" x14ac:dyDescent="0.2">
      <c r="A394">
        <v>393</v>
      </c>
      <c r="B394" s="2" t="s">
        <v>17</v>
      </c>
      <c r="C394" s="2" t="s">
        <v>13</v>
      </c>
      <c r="D394">
        <v>4820</v>
      </c>
      <c r="E394">
        <v>3</v>
      </c>
      <c r="F394">
        <v>2008</v>
      </c>
      <c r="G394">
        <v>0</v>
      </c>
      <c r="H394">
        <v>0</v>
      </c>
      <c r="I394">
        <v>0</v>
      </c>
      <c r="J394" s="2" t="s">
        <v>15</v>
      </c>
    </row>
    <row r="395" spans="1:10" x14ac:dyDescent="0.2">
      <c r="A395">
        <v>394</v>
      </c>
      <c r="B395" s="2" t="s">
        <v>17</v>
      </c>
      <c r="C395" s="2" t="s">
        <v>14</v>
      </c>
      <c r="D395">
        <v>10850</v>
      </c>
      <c r="G395">
        <v>0</v>
      </c>
      <c r="H395">
        <v>0</v>
      </c>
      <c r="I395">
        <v>0</v>
      </c>
      <c r="J395" s="2" t="s">
        <v>15</v>
      </c>
    </row>
    <row r="396" spans="1:10" x14ac:dyDescent="0.2">
      <c r="A396">
        <v>395</v>
      </c>
      <c r="B396" s="2" t="s">
        <v>14</v>
      </c>
      <c r="C396" s="2" t="s">
        <v>14</v>
      </c>
      <c r="D396">
        <v>3620</v>
      </c>
      <c r="E396">
        <v>2</v>
      </c>
      <c r="F396">
        <v>2013</v>
      </c>
      <c r="G396">
        <v>0</v>
      </c>
      <c r="H396">
        <v>0</v>
      </c>
      <c r="I396">
        <v>0</v>
      </c>
      <c r="J396" s="2" t="s">
        <v>15</v>
      </c>
    </row>
    <row r="397" spans="1:10" x14ac:dyDescent="0.2">
      <c r="A397">
        <v>396</v>
      </c>
      <c r="B397" s="2" t="s">
        <v>14</v>
      </c>
      <c r="C397" s="2" t="s">
        <v>13</v>
      </c>
      <c r="D397">
        <v>23130</v>
      </c>
      <c r="G397">
        <v>0</v>
      </c>
      <c r="H397">
        <v>0</v>
      </c>
      <c r="I397">
        <v>0</v>
      </c>
      <c r="J397" s="2" t="s">
        <v>15</v>
      </c>
    </row>
    <row r="398" spans="1:10" x14ac:dyDescent="0.2">
      <c r="A398">
        <v>397</v>
      </c>
      <c r="B398" s="2" t="s">
        <v>14</v>
      </c>
      <c r="C398" s="2" t="s">
        <v>13</v>
      </c>
      <c r="D398">
        <v>130</v>
      </c>
      <c r="G398">
        <v>1</v>
      </c>
      <c r="H398">
        <v>27</v>
      </c>
      <c r="I398">
        <v>2013</v>
      </c>
      <c r="J398" s="2" t="s">
        <v>18</v>
      </c>
    </row>
    <row r="399" spans="1:10" x14ac:dyDescent="0.2">
      <c r="A399">
        <v>398</v>
      </c>
      <c r="B399" s="2" t="s">
        <v>13</v>
      </c>
      <c r="C399" s="2" t="s">
        <v>13</v>
      </c>
      <c r="D399">
        <v>1540</v>
      </c>
      <c r="G399">
        <v>1</v>
      </c>
      <c r="H399">
        <v>1</v>
      </c>
      <c r="I399">
        <v>2012</v>
      </c>
      <c r="J399" s="2" t="s">
        <v>16</v>
      </c>
    </row>
    <row r="400" spans="1:10" x14ac:dyDescent="0.2">
      <c r="A400">
        <v>399</v>
      </c>
      <c r="B400" s="2" t="s">
        <v>14</v>
      </c>
      <c r="C400" s="2" t="s">
        <v>14</v>
      </c>
      <c r="D400">
        <v>5360</v>
      </c>
      <c r="E400">
        <v>9</v>
      </c>
      <c r="F400">
        <v>2012</v>
      </c>
      <c r="G400">
        <v>1</v>
      </c>
      <c r="H400">
        <v>40</v>
      </c>
      <c r="I400">
        <v>2011</v>
      </c>
      <c r="J400" s="2" t="s">
        <v>16</v>
      </c>
    </row>
    <row r="401" spans="1:10" x14ac:dyDescent="0.2">
      <c r="A401">
        <v>400</v>
      </c>
      <c r="B401" s="2" t="s">
        <v>14</v>
      </c>
      <c r="C401" s="2" t="s">
        <v>14</v>
      </c>
      <c r="D401">
        <v>70</v>
      </c>
      <c r="E401">
        <v>11</v>
      </c>
      <c r="F401">
        <v>2004</v>
      </c>
      <c r="G401">
        <v>1</v>
      </c>
      <c r="H401">
        <v>14</v>
      </c>
      <c r="I401">
        <v>2011</v>
      </c>
      <c r="J401" s="2" t="s">
        <v>16</v>
      </c>
    </row>
    <row r="402" spans="1:10" x14ac:dyDescent="0.2">
      <c r="A402">
        <v>401</v>
      </c>
      <c r="B402" s="2" t="s">
        <v>14</v>
      </c>
      <c r="C402" s="2" t="s">
        <v>13</v>
      </c>
      <c r="D402">
        <v>9200</v>
      </c>
      <c r="E402">
        <v>10</v>
      </c>
      <c r="F402">
        <v>2009</v>
      </c>
      <c r="G402">
        <v>1</v>
      </c>
      <c r="H402">
        <v>14</v>
      </c>
      <c r="I402">
        <v>2012</v>
      </c>
      <c r="J402" s="2" t="s">
        <v>16</v>
      </c>
    </row>
    <row r="403" spans="1:10" x14ac:dyDescent="0.2">
      <c r="A403">
        <v>402</v>
      </c>
      <c r="B403" s="2" t="s">
        <v>13</v>
      </c>
      <c r="C403" s="2" t="s">
        <v>13</v>
      </c>
      <c r="D403">
        <v>5830</v>
      </c>
      <c r="E403">
        <v>9</v>
      </c>
      <c r="F403">
        <v>2011</v>
      </c>
      <c r="G403">
        <v>1</v>
      </c>
      <c r="H403">
        <v>13</v>
      </c>
      <c r="I403">
        <v>2010</v>
      </c>
      <c r="J403" s="2" t="s">
        <v>16</v>
      </c>
    </row>
    <row r="404" spans="1:10" x14ac:dyDescent="0.2">
      <c r="A404">
        <v>403</v>
      </c>
      <c r="B404" s="2" t="s">
        <v>14</v>
      </c>
      <c r="C404" s="2" t="s">
        <v>14</v>
      </c>
      <c r="D404">
        <v>4970</v>
      </c>
      <c r="E404">
        <v>7</v>
      </c>
      <c r="F404">
        <v>2015</v>
      </c>
      <c r="G404">
        <v>0</v>
      </c>
      <c r="H404">
        <v>0</v>
      </c>
      <c r="I404">
        <v>0</v>
      </c>
      <c r="J404" s="2" t="s">
        <v>15</v>
      </c>
    </row>
    <row r="405" spans="1:10" x14ac:dyDescent="0.2">
      <c r="A405">
        <v>404</v>
      </c>
      <c r="B405" s="2" t="s">
        <v>14</v>
      </c>
      <c r="C405" s="2" t="s">
        <v>13</v>
      </c>
      <c r="D405">
        <v>1420</v>
      </c>
      <c r="G405">
        <v>1</v>
      </c>
      <c r="H405">
        <v>10</v>
      </c>
      <c r="I405">
        <v>2013</v>
      </c>
      <c r="J405" s="2" t="s">
        <v>19</v>
      </c>
    </row>
    <row r="406" spans="1:10" x14ac:dyDescent="0.2">
      <c r="A406">
        <v>405</v>
      </c>
      <c r="B406" s="2" t="s">
        <v>14</v>
      </c>
      <c r="C406" s="2" t="s">
        <v>14</v>
      </c>
      <c r="D406">
        <v>1080</v>
      </c>
      <c r="E406">
        <v>4</v>
      </c>
      <c r="F406">
        <v>2008</v>
      </c>
      <c r="G406">
        <v>1</v>
      </c>
      <c r="H406">
        <v>14</v>
      </c>
      <c r="I406">
        <v>2011</v>
      </c>
      <c r="J406" s="2" t="s">
        <v>16</v>
      </c>
    </row>
    <row r="407" spans="1:10" x14ac:dyDescent="0.2">
      <c r="A407">
        <v>406</v>
      </c>
      <c r="B407" s="2" t="s">
        <v>17</v>
      </c>
      <c r="C407" s="2" t="s">
        <v>13</v>
      </c>
      <c r="D407">
        <v>8240</v>
      </c>
      <c r="E407">
        <v>3</v>
      </c>
      <c r="F407">
        <v>2001</v>
      </c>
      <c r="G407">
        <v>1</v>
      </c>
      <c r="H407">
        <v>10</v>
      </c>
      <c r="I407">
        <v>2013</v>
      </c>
      <c r="J407" s="2" t="s">
        <v>18</v>
      </c>
    </row>
    <row r="408" spans="1:10" x14ac:dyDescent="0.2">
      <c r="A408">
        <v>407</v>
      </c>
      <c r="B408" s="2" t="s">
        <v>14</v>
      </c>
      <c r="C408" s="2" t="s">
        <v>14</v>
      </c>
      <c r="D408">
        <v>5890</v>
      </c>
      <c r="E408">
        <v>10</v>
      </c>
      <c r="F408">
        <v>2003</v>
      </c>
      <c r="G408">
        <v>1</v>
      </c>
      <c r="H408">
        <v>14</v>
      </c>
      <c r="I408">
        <v>2011</v>
      </c>
      <c r="J408" s="2" t="s">
        <v>18</v>
      </c>
    </row>
    <row r="409" spans="1:10" x14ac:dyDescent="0.2">
      <c r="A409">
        <v>408</v>
      </c>
      <c r="B409" s="2" t="s">
        <v>13</v>
      </c>
      <c r="C409" s="2" t="s">
        <v>14</v>
      </c>
      <c r="D409">
        <v>1560</v>
      </c>
      <c r="G409">
        <v>1</v>
      </c>
      <c r="H409">
        <v>45</v>
      </c>
      <c r="I409">
        <v>2009</v>
      </c>
      <c r="J409" s="2" t="s">
        <v>18</v>
      </c>
    </row>
    <row r="410" spans="1:10" x14ac:dyDescent="0.2">
      <c r="A410">
        <v>409</v>
      </c>
      <c r="B410" s="2" t="s">
        <v>17</v>
      </c>
      <c r="C410" s="2" t="s">
        <v>13</v>
      </c>
      <c r="D410">
        <v>840</v>
      </c>
      <c r="G410">
        <v>1</v>
      </c>
      <c r="H410">
        <v>1</v>
      </c>
      <c r="I410">
        <v>2013</v>
      </c>
      <c r="J410" s="2" t="s">
        <v>16</v>
      </c>
    </row>
    <row r="411" spans="1:10" x14ac:dyDescent="0.2">
      <c r="A411">
        <v>410</v>
      </c>
      <c r="B411" s="2" t="s">
        <v>13</v>
      </c>
      <c r="C411" s="2" t="s">
        <v>14</v>
      </c>
      <c r="D411">
        <v>40</v>
      </c>
      <c r="E411">
        <v>11</v>
      </c>
      <c r="F411">
        <v>2011</v>
      </c>
      <c r="G411">
        <v>1</v>
      </c>
      <c r="H411">
        <v>22</v>
      </c>
      <c r="I411">
        <v>2012</v>
      </c>
      <c r="J411" s="2" t="s">
        <v>19</v>
      </c>
    </row>
    <row r="412" spans="1:10" x14ac:dyDescent="0.2">
      <c r="A412">
        <v>411</v>
      </c>
      <c r="B412" s="2" t="s">
        <v>17</v>
      </c>
      <c r="C412" s="2" t="s">
        <v>13</v>
      </c>
      <c r="D412">
        <v>8460</v>
      </c>
      <c r="G412">
        <v>0</v>
      </c>
      <c r="H412">
        <v>0</v>
      </c>
      <c r="I412">
        <v>0</v>
      </c>
      <c r="J412" s="2" t="s">
        <v>15</v>
      </c>
    </row>
    <row r="413" spans="1:10" x14ac:dyDescent="0.2">
      <c r="A413">
        <v>412</v>
      </c>
      <c r="B413" s="2" t="s">
        <v>17</v>
      </c>
      <c r="C413" s="2" t="s">
        <v>13</v>
      </c>
      <c r="D413">
        <v>4460</v>
      </c>
      <c r="G413">
        <v>1</v>
      </c>
      <c r="H413">
        <v>39</v>
      </c>
      <c r="I413">
        <v>2010</v>
      </c>
      <c r="J413" s="2" t="s">
        <v>16</v>
      </c>
    </row>
    <row r="414" spans="1:10" x14ac:dyDescent="0.2">
      <c r="A414">
        <v>413</v>
      </c>
      <c r="B414" s="2" t="s">
        <v>14</v>
      </c>
      <c r="C414" s="2" t="s">
        <v>13</v>
      </c>
      <c r="D414">
        <v>760</v>
      </c>
      <c r="E414">
        <v>9</v>
      </c>
      <c r="F414">
        <v>2014</v>
      </c>
      <c r="G414">
        <v>0</v>
      </c>
      <c r="H414">
        <v>0</v>
      </c>
      <c r="I414">
        <v>0</v>
      </c>
      <c r="J414" s="2" t="s">
        <v>15</v>
      </c>
    </row>
    <row r="415" spans="1:10" x14ac:dyDescent="0.2">
      <c r="A415">
        <v>414</v>
      </c>
      <c r="B415" s="2" t="s">
        <v>17</v>
      </c>
      <c r="C415" s="2" t="s">
        <v>13</v>
      </c>
      <c r="D415">
        <v>6210</v>
      </c>
      <c r="G415">
        <v>1</v>
      </c>
      <c r="H415">
        <v>1</v>
      </c>
      <c r="I415">
        <v>2013</v>
      </c>
      <c r="J415" s="2" t="s">
        <v>16</v>
      </c>
    </row>
    <row r="416" spans="1:10" x14ac:dyDescent="0.2">
      <c r="A416">
        <v>415</v>
      </c>
      <c r="B416" s="2" t="s">
        <v>17</v>
      </c>
      <c r="C416" s="2" t="s">
        <v>13</v>
      </c>
      <c r="D416">
        <v>6910</v>
      </c>
      <c r="E416">
        <v>4</v>
      </c>
      <c r="F416">
        <v>2005</v>
      </c>
      <c r="G416">
        <v>0</v>
      </c>
      <c r="H416">
        <v>0</v>
      </c>
      <c r="I416">
        <v>0</v>
      </c>
      <c r="J416" s="2" t="s">
        <v>15</v>
      </c>
    </row>
    <row r="417" spans="1:10" x14ac:dyDescent="0.2">
      <c r="A417">
        <v>416</v>
      </c>
      <c r="B417" s="2" t="s">
        <v>14</v>
      </c>
      <c r="C417" s="2" t="s">
        <v>13</v>
      </c>
      <c r="D417">
        <v>4650</v>
      </c>
      <c r="E417">
        <v>6</v>
      </c>
      <c r="F417">
        <v>2014</v>
      </c>
      <c r="G417">
        <v>0</v>
      </c>
      <c r="H417">
        <v>0</v>
      </c>
      <c r="I417">
        <v>0</v>
      </c>
      <c r="J417" s="2" t="s">
        <v>15</v>
      </c>
    </row>
    <row r="418" spans="1:10" x14ac:dyDescent="0.2">
      <c r="A418">
        <v>417</v>
      </c>
      <c r="B418" s="2" t="s">
        <v>14</v>
      </c>
      <c r="C418" s="2" t="s">
        <v>13</v>
      </c>
      <c r="D418">
        <v>840</v>
      </c>
      <c r="G418">
        <v>1</v>
      </c>
      <c r="H418">
        <v>10</v>
      </c>
      <c r="I418">
        <v>2014</v>
      </c>
      <c r="J418" s="2" t="s">
        <v>16</v>
      </c>
    </row>
    <row r="419" spans="1:10" x14ac:dyDescent="0.2">
      <c r="A419">
        <v>418</v>
      </c>
      <c r="B419" s="2" t="s">
        <v>14</v>
      </c>
      <c r="C419" s="2" t="s">
        <v>14</v>
      </c>
      <c r="D419">
        <v>1060</v>
      </c>
      <c r="E419">
        <v>5</v>
      </c>
      <c r="F419">
        <v>2009</v>
      </c>
      <c r="G419">
        <v>1</v>
      </c>
      <c r="H419">
        <v>27</v>
      </c>
      <c r="I419">
        <v>2011</v>
      </c>
      <c r="J419" s="2" t="s">
        <v>18</v>
      </c>
    </row>
    <row r="420" spans="1:10" x14ac:dyDescent="0.2">
      <c r="A420">
        <v>419</v>
      </c>
      <c r="B420" s="2" t="s">
        <v>13</v>
      </c>
      <c r="C420" s="2" t="s">
        <v>14</v>
      </c>
      <c r="D420">
        <v>1620</v>
      </c>
      <c r="E420">
        <v>9</v>
      </c>
      <c r="F420">
        <v>2009</v>
      </c>
      <c r="G420">
        <v>0</v>
      </c>
      <c r="H420">
        <v>0</v>
      </c>
      <c r="I420">
        <v>0</v>
      </c>
      <c r="J420" s="2" t="s">
        <v>15</v>
      </c>
    </row>
    <row r="421" spans="1:10" x14ac:dyDescent="0.2">
      <c r="A421">
        <v>420</v>
      </c>
      <c r="B421" s="2" t="s">
        <v>17</v>
      </c>
      <c r="C421" s="2" t="s">
        <v>13</v>
      </c>
      <c r="D421">
        <v>250</v>
      </c>
      <c r="G421">
        <v>1</v>
      </c>
      <c r="H421">
        <v>27</v>
      </c>
      <c r="I421">
        <v>2012</v>
      </c>
      <c r="J421" s="2" t="s">
        <v>16</v>
      </c>
    </row>
    <row r="422" spans="1:10" x14ac:dyDescent="0.2">
      <c r="A422">
        <v>421</v>
      </c>
      <c r="B422" s="2" t="s">
        <v>13</v>
      </c>
      <c r="C422" s="2" t="s">
        <v>13</v>
      </c>
      <c r="D422">
        <v>3530</v>
      </c>
      <c r="E422">
        <v>6</v>
      </c>
      <c r="F422">
        <v>2012</v>
      </c>
      <c r="G422">
        <v>1</v>
      </c>
      <c r="H422">
        <v>35</v>
      </c>
      <c r="I422">
        <v>2012</v>
      </c>
      <c r="J422" s="2" t="s">
        <v>19</v>
      </c>
    </row>
    <row r="423" spans="1:10" x14ac:dyDescent="0.2">
      <c r="A423">
        <v>422</v>
      </c>
      <c r="B423" s="2" t="s">
        <v>14</v>
      </c>
      <c r="C423" s="2" t="s">
        <v>13</v>
      </c>
      <c r="D423">
        <v>2880</v>
      </c>
      <c r="G423">
        <v>0</v>
      </c>
      <c r="H423">
        <v>0</v>
      </c>
      <c r="I423">
        <v>0</v>
      </c>
      <c r="J423" s="2" t="s">
        <v>15</v>
      </c>
    </row>
    <row r="424" spans="1:10" x14ac:dyDescent="0.2">
      <c r="A424">
        <v>423</v>
      </c>
      <c r="B424" s="2" t="s">
        <v>20</v>
      </c>
      <c r="C424" s="2" t="s">
        <v>14</v>
      </c>
      <c r="D424">
        <v>1270</v>
      </c>
      <c r="E424">
        <v>5</v>
      </c>
      <c r="F424">
        <v>2014</v>
      </c>
      <c r="G424">
        <v>0</v>
      </c>
      <c r="H424">
        <v>0</v>
      </c>
      <c r="I424">
        <v>0</v>
      </c>
      <c r="J424" s="2" t="s">
        <v>15</v>
      </c>
    </row>
    <row r="425" spans="1:10" x14ac:dyDescent="0.2">
      <c r="A425">
        <v>424</v>
      </c>
      <c r="B425" s="2" t="s">
        <v>17</v>
      </c>
      <c r="C425" s="2" t="s">
        <v>13</v>
      </c>
      <c r="D425">
        <v>1250</v>
      </c>
      <c r="G425">
        <v>1</v>
      </c>
      <c r="H425">
        <v>40</v>
      </c>
      <c r="I425">
        <v>2011</v>
      </c>
      <c r="J425" s="2" t="s">
        <v>16</v>
      </c>
    </row>
    <row r="426" spans="1:10" x14ac:dyDescent="0.2">
      <c r="A426">
        <v>425</v>
      </c>
      <c r="B426" s="2" t="s">
        <v>17</v>
      </c>
      <c r="C426" s="2" t="s">
        <v>13</v>
      </c>
      <c r="D426">
        <v>1460</v>
      </c>
      <c r="G426">
        <v>0</v>
      </c>
      <c r="H426">
        <v>0</v>
      </c>
      <c r="I426">
        <v>0</v>
      </c>
      <c r="J426" s="2" t="s">
        <v>15</v>
      </c>
    </row>
    <row r="427" spans="1:10" x14ac:dyDescent="0.2">
      <c r="A427">
        <v>426</v>
      </c>
      <c r="B427" s="2" t="s">
        <v>14</v>
      </c>
      <c r="C427" s="2" t="s">
        <v>14</v>
      </c>
      <c r="D427">
        <v>250</v>
      </c>
      <c r="G427">
        <v>0</v>
      </c>
      <c r="H427">
        <v>0</v>
      </c>
      <c r="I427">
        <v>0</v>
      </c>
      <c r="J427" s="2" t="s">
        <v>15</v>
      </c>
    </row>
    <row r="428" spans="1:10" x14ac:dyDescent="0.2">
      <c r="A428">
        <v>427</v>
      </c>
      <c r="B428" s="2" t="s">
        <v>14</v>
      </c>
      <c r="C428" s="2" t="s">
        <v>13</v>
      </c>
      <c r="D428">
        <v>70</v>
      </c>
      <c r="E428">
        <v>7</v>
      </c>
      <c r="F428">
        <v>2005</v>
      </c>
      <c r="G428">
        <v>1</v>
      </c>
      <c r="H428">
        <v>13</v>
      </c>
      <c r="I428">
        <v>2010</v>
      </c>
      <c r="J428" s="2" t="s">
        <v>16</v>
      </c>
    </row>
    <row r="429" spans="1:10" x14ac:dyDescent="0.2">
      <c r="A429">
        <v>428</v>
      </c>
      <c r="B429" s="2" t="s">
        <v>17</v>
      </c>
      <c r="C429" s="2" t="s">
        <v>14</v>
      </c>
      <c r="D429">
        <v>2960</v>
      </c>
      <c r="E429">
        <v>12</v>
      </c>
      <c r="F429">
        <v>2014</v>
      </c>
      <c r="G429">
        <v>1</v>
      </c>
      <c r="H429">
        <v>23</v>
      </c>
      <c r="I429">
        <v>2015</v>
      </c>
      <c r="J429" s="2" t="s">
        <v>19</v>
      </c>
    </row>
    <row r="430" spans="1:10" x14ac:dyDescent="0.2">
      <c r="A430">
        <v>429</v>
      </c>
      <c r="B430" s="2" t="s">
        <v>17</v>
      </c>
      <c r="C430" s="2" t="s">
        <v>13</v>
      </c>
      <c r="D430">
        <v>16350</v>
      </c>
      <c r="E430">
        <v>7</v>
      </c>
      <c r="F430">
        <v>2005</v>
      </c>
      <c r="G430">
        <v>1</v>
      </c>
      <c r="H430">
        <v>31</v>
      </c>
      <c r="I430">
        <v>2013</v>
      </c>
      <c r="J430" s="2" t="s">
        <v>16</v>
      </c>
    </row>
    <row r="431" spans="1:10" x14ac:dyDescent="0.2">
      <c r="A431">
        <v>430</v>
      </c>
      <c r="B431" s="2" t="s">
        <v>17</v>
      </c>
      <c r="C431" s="2" t="s">
        <v>13</v>
      </c>
      <c r="D431">
        <v>12870</v>
      </c>
      <c r="E431">
        <v>10</v>
      </c>
      <c r="F431">
        <v>2008</v>
      </c>
      <c r="G431">
        <v>0</v>
      </c>
      <c r="H431">
        <v>0</v>
      </c>
      <c r="I431">
        <v>0</v>
      </c>
      <c r="J431" s="2" t="s">
        <v>15</v>
      </c>
    </row>
    <row r="432" spans="1:10" x14ac:dyDescent="0.2">
      <c r="A432">
        <v>431</v>
      </c>
      <c r="B432" s="2" t="s">
        <v>17</v>
      </c>
      <c r="C432" s="2" t="s">
        <v>13</v>
      </c>
      <c r="D432">
        <v>4520</v>
      </c>
      <c r="G432">
        <v>0</v>
      </c>
      <c r="H432">
        <v>0</v>
      </c>
      <c r="I432">
        <v>0</v>
      </c>
      <c r="J432" s="2" t="s">
        <v>15</v>
      </c>
    </row>
    <row r="433" spans="1:10" x14ac:dyDescent="0.2">
      <c r="A433">
        <v>432</v>
      </c>
      <c r="B433" s="2" t="s">
        <v>14</v>
      </c>
      <c r="C433" s="2" t="s">
        <v>14</v>
      </c>
      <c r="D433">
        <v>810</v>
      </c>
      <c r="E433">
        <v>5</v>
      </c>
      <c r="F433">
        <v>2013</v>
      </c>
      <c r="G433">
        <v>0</v>
      </c>
      <c r="H433">
        <v>0</v>
      </c>
      <c r="I433">
        <v>0</v>
      </c>
      <c r="J433" s="2" t="s">
        <v>15</v>
      </c>
    </row>
    <row r="434" spans="1:10" x14ac:dyDescent="0.2">
      <c r="A434">
        <v>433</v>
      </c>
      <c r="B434" s="2" t="s">
        <v>14</v>
      </c>
      <c r="C434" s="2" t="s">
        <v>13</v>
      </c>
      <c r="D434">
        <v>30030</v>
      </c>
      <c r="E434">
        <v>11</v>
      </c>
      <c r="F434">
        <v>2010</v>
      </c>
      <c r="G434">
        <v>0</v>
      </c>
      <c r="H434">
        <v>0</v>
      </c>
      <c r="I434">
        <v>0</v>
      </c>
      <c r="J434" s="2" t="s">
        <v>15</v>
      </c>
    </row>
    <row r="435" spans="1:10" x14ac:dyDescent="0.2">
      <c r="A435">
        <v>434</v>
      </c>
      <c r="B435" s="2" t="s">
        <v>14</v>
      </c>
      <c r="C435" s="2" t="s">
        <v>14</v>
      </c>
      <c r="D435">
        <v>13020</v>
      </c>
      <c r="E435">
        <v>8</v>
      </c>
      <c r="F435">
        <v>2003</v>
      </c>
      <c r="G435">
        <v>1</v>
      </c>
      <c r="H435">
        <v>40</v>
      </c>
      <c r="I435">
        <v>2014</v>
      </c>
      <c r="J435" s="2" t="s">
        <v>16</v>
      </c>
    </row>
    <row r="436" spans="1:10" x14ac:dyDescent="0.2">
      <c r="A436">
        <v>435</v>
      </c>
      <c r="B436" s="2" t="s">
        <v>14</v>
      </c>
      <c r="C436" s="2" t="s">
        <v>14</v>
      </c>
      <c r="D436">
        <v>910</v>
      </c>
      <c r="G436">
        <v>0</v>
      </c>
      <c r="H436">
        <v>0</v>
      </c>
      <c r="I436">
        <v>0</v>
      </c>
      <c r="J436" s="2" t="s">
        <v>15</v>
      </c>
    </row>
    <row r="437" spans="1:10" x14ac:dyDescent="0.2">
      <c r="A437">
        <v>436</v>
      </c>
      <c r="B437" s="2" t="s">
        <v>17</v>
      </c>
      <c r="C437" s="2" t="s">
        <v>14</v>
      </c>
      <c r="D437">
        <v>2300</v>
      </c>
      <c r="G437">
        <v>0</v>
      </c>
      <c r="H437">
        <v>0</v>
      </c>
      <c r="I437">
        <v>0</v>
      </c>
      <c r="J437" s="2" t="s">
        <v>15</v>
      </c>
    </row>
    <row r="438" spans="1:10" x14ac:dyDescent="0.2">
      <c r="A438">
        <v>437</v>
      </c>
      <c r="B438" s="2" t="s">
        <v>13</v>
      </c>
      <c r="C438" s="2" t="s">
        <v>13</v>
      </c>
      <c r="D438">
        <v>430</v>
      </c>
      <c r="G438">
        <v>1</v>
      </c>
      <c r="H438">
        <v>50</v>
      </c>
      <c r="I438">
        <v>2010</v>
      </c>
      <c r="J438" s="2" t="s">
        <v>16</v>
      </c>
    </row>
    <row r="439" spans="1:10" x14ac:dyDescent="0.2">
      <c r="A439">
        <v>438</v>
      </c>
      <c r="B439" s="2" t="s">
        <v>17</v>
      </c>
      <c r="C439" s="2" t="s">
        <v>13</v>
      </c>
      <c r="D439">
        <v>1110</v>
      </c>
      <c r="G439">
        <v>1</v>
      </c>
      <c r="H439">
        <v>40</v>
      </c>
      <c r="I439">
        <v>2012</v>
      </c>
      <c r="J439" s="2" t="s">
        <v>16</v>
      </c>
    </row>
    <row r="440" spans="1:10" x14ac:dyDescent="0.2">
      <c r="A440">
        <v>439</v>
      </c>
      <c r="B440" s="2" t="s">
        <v>14</v>
      </c>
      <c r="C440" s="2" t="s">
        <v>14</v>
      </c>
      <c r="D440">
        <v>1350</v>
      </c>
      <c r="E440">
        <v>9</v>
      </c>
      <c r="F440">
        <v>2009</v>
      </c>
      <c r="G440">
        <v>0</v>
      </c>
      <c r="H440">
        <v>0</v>
      </c>
      <c r="I440">
        <v>0</v>
      </c>
      <c r="J440" s="2" t="s">
        <v>15</v>
      </c>
    </row>
    <row r="441" spans="1:10" x14ac:dyDescent="0.2">
      <c r="A441">
        <v>440</v>
      </c>
      <c r="B441" s="2" t="s">
        <v>17</v>
      </c>
      <c r="C441" s="2" t="s">
        <v>14</v>
      </c>
      <c r="D441">
        <v>3900</v>
      </c>
      <c r="E441">
        <v>4</v>
      </c>
      <c r="F441">
        <v>2005</v>
      </c>
      <c r="G441">
        <v>1</v>
      </c>
      <c r="H441">
        <v>45</v>
      </c>
      <c r="I441">
        <v>2009</v>
      </c>
      <c r="J441" s="2" t="s">
        <v>18</v>
      </c>
    </row>
    <row r="442" spans="1:10" x14ac:dyDescent="0.2">
      <c r="A442">
        <v>441</v>
      </c>
      <c r="B442" s="2" t="s">
        <v>17</v>
      </c>
      <c r="C442" s="2" t="s">
        <v>14</v>
      </c>
      <c r="D442">
        <v>2530</v>
      </c>
      <c r="G442">
        <v>0</v>
      </c>
      <c r="H442">
        <v>0</v>
      </c>
      <c r="I442">
        <v>0</v>
      </c>
      <c r="J442" s="2" t="s">
        <v>15</v>
      </c>
    </row>
    <row r="443" spans="1:10" x14ac:dyDescent="0.2">
      <c r="A443">
        <v>442</v>
      </c>
      <c r="B443" s="2" t="s">
        <v>13</v>
      </c>
      <c r="C443" s="2" t="s">
        <v>14</v>
      </c>
      <c r="D443">
        <v>500</v>
      </c>
      <c r="G443">
        <v>1</v>
      </c>
      <c r="H443">
        <v>45</v>
      </c>
      <c r="I443">
        <v>2009</v>
      </c>
      <c r="J443" s="2" t="s">
        <v>18</v>
      </c>
    </row>
    <row r="444" spans="1:10" x14ac:dyDescent="0.2">
      <c r="A444">
        <v>443</v>
      </c>
      <c r="B444" s="2" t="s">
        <v>17</v>
      </c>
      <c r="C444" s="2" t="s">
        <v>14</v>
      </c>
      <c r="D444">
        <v>11400</v>
      </c>
      <c r="E444">
        <v>12</v>
      </c>
      <c r="F444">
        <v>2005</v>
      </c>
      <c r="G444">
        <v>0</v>
      </c>
      <c r="H444">
        <v>0</v>
      </c>
      <c r="I444">
        <v>0</v>
      </c>
      <c r="J444" s="2" t="s">
        <v>15</v>
      </c>
    </row>
    <row r="445" spans="1:10" x14ac:dyDescent="0.2">
      <c r="A445">
        <v>444</v>
      </c>
      <c r="B445" s="2" t="s">
        <v>13</v>
      </c>
      <c r="C445" s="2" t="s">
        <v>14</v>
      </c>
      <c r="D445">
        <v>1700</v>
      </c>
      <c r="E445">
        <v>11</v>
      </c>
      <c r="F445">
        <v>2009</v>
      </c>
      <c r="G445">
        <v>0</v>
      </c>
      <c r="H445">
        <v>0</v>
      </c>
      <c r="I445">
        <v>0</v>
      </c>
      <c r="J445" s="2" t="s">
        <v>15</v>
      </c>
    </row>
    <row r="446" spans="1:10" x14ac:dyDescent="0.2">
      <c r="A446">
        <v>445</v>
      </c>
      <c r="B446" s="2" t="s">
        <v>14</v>
      </c>
      <c r="C446" s="2" t="s">
        <v>14</v>
      </c>
      <c r="D446">
        <v>240</v>
      </c>
      <c r="G446">
        <v>0</v>
      </c>
      <c r="H446">
        <v>0</v>
      </c>
      <c r="I446">
        <v>0</v>
      </c>
      <c r="J446" s="2" t="s">
        <v>15</v>
      </c>
    </row>
    <row r="447" spans="1:10" x14ac:dyDescent="0.2">
      <c r="A447">
        <v>446</v>
      </c>
      <c r="B447" s="2" t="s">
        <v>14</v>
      </c>
      <c r="C447" s="2" t="s">
        <v>14</v>
      </c>
      <c r="D447">
        <v>340</v>
      </c>
      <c r="E447">
        <v>10</v>
      </c>
      <c r="F447">
        <v>2000</v>
      </c>
      <c r="G447">
        <v>1</v>
      </c>
      <c r="H447">
        <v>31</v>
      </c>
      <c r="I447">
        <v>2013</v>
      </c>
      <c r="J447" s="2" t="s">
        <v>18</v>
      </c>
    </row>
    <row r="448" spans="1:10" x14ac:dyDescent="0.2">
      <c r="A448">
        <v>447</v>
      </c>
      <c r="B448" s="2" t="s">
        <v>14</v>
      </c>
      <c r="C448" s="2" t="s">
        <v>13</v>
      </c>
      <c r="D448">
        <v>1510</v>
      </c>
      <c r="E448">
        <v>9</v>
      </c>
      <c r="F448">
        <v>2013</v>
      </c>
      <c r="G448">
        <v>0</v>
      </c>
      <c r="H448">
        <v>0</v>
      </c>
      <c r="I448">
        <v>0</v>
      </c>
      <c r="J448" s="2" t="s">
        <v>15</v>
      </c>
    </row>
    <row r="449" spans="1:10" x14ac:dyDescent="0.2">
      <c r="A449">
        <v>448</v>
      </c>
      <c r="B449" s="2" t="s">
        <v>14</v>
      </c>
      <c r="C449" s="2" t="s">
        <v>13</v>
      </c>
      <c r="D449">
        <v>3970</v>
      </c>
      <c r="E449">
        <v>9</v>
      </c>
      <c r="F449">
        <v>2009</v>
      </c>
      <c r="G449">
        <v>0</v>
      </c>
      <c r="H449">
        <v>0</v>
      </c>
      <c r="I449">
        <v>0</v>
      </c>
      <c r="J449" s="2" t="s">
        <v>15</v>
      </c>
    </row>
    <row r="450" spans="1:10" x14ac:dyDescent="0.2">
      <c r="A450">
        <v>449</v>
      </c>
      <c r="B450" s="2" t="s">
        <v>14</v>
      </c>
      <c r="C450" s="2" t="s">
        <v>13</v>
      </c>
      <c r="D450">
        <v>120</v>
      </c>
      <c r="E450">
        <v>12</v>
      </c>
      <c r="F450">
        <v>2014</v>
      </c>
      <c r="G450">
        <v>1</v>
      </c>
      <c r="H450">
        <v>37</v>
      </c>
      <c r="I450">
        <v>2009</v>
      </c>
      <c r="J450" s="2" t="s">
        <v>16</v>
      </c>
    </row>
    <row r="451" spans="1:10" x14ac:dyDescent="0.2">
      <c r="A451">
        <v>450</v>
      </c>
      <c r="B451" s="2" t="s">
        <v>13</v>
      </c>
      <c r="C451" s="2" t="s">
        <v>14</v>
      </c>
      <c r="D451">
        <v>5780</v>
      </c>
      <c r="E451">
        <v>11</v>
      </c>
      <c r="F451">
        <v>1994</v>
      </c>
      <c r="G451">
        <v>1</v>
      </c>
      <c r="H451">
        <v>10</v>
      </c>
      <c r="I451">
        <v>2014</v>
      </c>
      <c r="J451" s="2" t="s">
        <v>19</v>
      </c>
    </row>
    <row r="452" spans="1:10" x14ac:dyDescent="0.2">
      <c r="A452">
        <v>451</v>
      </c>
      <c r="B452" s="2" t="s">
        <v>14</v>
      </c>
      <c r="C452" s="2" t="s">
        <v>14</v>
      </c>
      <c r="D452">
        <v>2460</v>
      </c>
      <c r="E452">
        <v>4</v>
      </c>
      <c r="F452">
        <v>2009</v>
      </c>
      <c r="G452">
        <v>1</v>
      </c>
      <c r="H452">
        <v>13</v>
      </c>
      <c r="I452">
        <v>2010</v>
      </c>
      <c r="J452" s="2" t="s">
        <v>16</v>
      </c>
    </row>
    <row r="453" spans="1:10" x14ac:dyDescent="0.2">
      <c r="A453">
        <v>452</v>
      </c>
      <c r="B453" s="2" t="s">
        <v>14</v>
      </c>
      <c r="C453" s="2" t="s">
        <v>13</v>
      </c>
      <c r="D453">
        <v>1850</v>
      </c>
      <c r="E453">
        <v>8</v>
      </c>
      <c r="F453">
        <v>2013</v>
      </c>
      <c r="G453">
        <v>1</v>
      </c>
      <c r="H453">
        <v>5</v>
      </c>
      <c r="I453">
        <v>2011</v>
      </c>
      <c r="J453" s="2" t="s">
        <v>18</v>
      </c>
    </row>
    <row r="454" spans="1:10" x14ac:dyDescent="0.2">
      <c r="A454">
        <v>453</v>
      </c>
      <c r="B454" s="2" t="s">
        <v>14</v>
      </c>
      <c r="C454" s="2" t="s">
        <v>13</v>
      </c>
      <c r="D454">
        <v>75860</v>
      </c>
      <c r="G454">
        <v>0</v>
      </c>
      <c r="H454">
        <v>0</v>
      </c>
      <c r="I454">
        <v>0</v>
      </c>
      <c r="J454" s="2" t="s">
        <v>15</v>
      </c>
    </row>
    <row r="455" spans="1:10" x14ac:dyDescent="0.2">
      <c r="A455">
        <v>454</v>
      </c>
      <c r="B455" s="2" t="s">
        <v>14</v>
      </c>
      <c r="C455" s="2" t="s">
        <v>14</v>
      </c>
      <c r="D455">
        <v>26450</v>
      </c>
      <c r="G455">
        <v>0</v>
      </c>
      <c r="H455">
        <v>0</v>
      </c>
      <c r="I455">
        <v>0</v>
      </c>
      <c r="J455" s="2" t="s">
        <v>15</v>
      </c>
    </row>
    <row r="456" spans="1:10" x14ac:dyDescent="0.2">
      <c r="A456">
        <v>455</v>
      </c>
      <c r="B456" s="2" t="s">
        <v>17</v>
      </c>
      <c r="C456" s="2" t="s">
        <v>13</v>
      </c>
      <c r="D456">
        <v>7660</v>
      </c>
      <c r="E456">
        <v>9</v>
      </c>
      <c r="F456">
        <v>2010</v>
      </c>
      <c r="G456">
        <v>0</v>
      </c>
      <c r="H456">
        <v>0</v>
      </c>
      <c r="I456">
        <v>0</v>
      </c>
      <c r="J456" s="2" t="s">
        <v>15</v>
      </c>
    </row>
    <row r="457" spans="1:10" x14ac:dyDescent="0.2">
      <c r="A457">
        <v>456</v>
      </c>
      <c r="B457" s="2" t="s">
        <v>14</v>
      </c>
      <c r="C457" s="2" t="s">
        <v>13</v>
      </c>
      <c r="D457">
        <v>140</v>
      </c>
      <c r="G457">
        <v>0</v>
      </c>
      <c r="H457">
        <v>0</v>
      </c>
      <c r="I457">
        <v>0</v>
      </c>
      <c r="J457" s="2" t="s">
        <v>15</v>
      </c>
    </row>
    <row r="458" spans="1:10" x14ac:dyDescent="0.2">
      <c r="A458">
        <v>457</v>
      </c>
      <c r="B458" s="2" t="s">
        <v>17</v>
      </c>
      <c r="C458" s="2" t="s">
        <v>13</v>
      </c>
      <c r="D458">
        <v>13140</v>
      </c>
      <c r="G458">
        <v>1</v>
      </c>
      <c r="H458">
        <v>31</v>
      </c>
      <c r="I458">
        <v>2013</v>
      </c>
      <c r="J458" s="2" t="s">
        <v>16</v>
      </c>
    </row>
    <row r="459" spans="1:10" x14ac:dyDescent="0.2">
      <c r="A459">
        <v>458</v>
      </c>
      <c r="B459" s="2" t="s">
        <v>13</v>
      </c>
      <c r="C459" s="2" t="s">
        <v>14</v>
      </c>
      <c r="D459">
        <v>3390</v>
      </c>
      <c r="G459">
        <v>0</v>
      </c>
      <c r="H459">
        <v>0</v>
      </c>
      <c r="I459">
        <v>0</v>
      </c>
      <c r="J459" s="2" t="s">
        <v>15</v>
      </c>
    </row>
    <row r="460" spans="1:10" x14ac:dyDescent="0.2">
      <c r="A460">
        <v>459</v>
      </c>
      <c r="B460" s="2" t="s">
        <v>14</v>
      </c>
      <c r="C460" s="2" t="s">
        <v>14</v>
      </c>
      <c r="D460">
        <v>250</v>
      </c>
      <c r="E460">
        <v>9</v>
      </c>
      <c r="F460">
        <v>2008</v>
      </c>
      <c r="G460">
        <v>1</v>
      </c>
      <c r="H460">
        <v>5</v>
      </c>
      <c r="I460">
        <v>2013</v>
      </c>
      <c r="J460" s="2" t="s">
        <v>18</v>
      </c>
    </row>
    <row r="461" spans="1:10" x14ac:dyDescent="0.2">
      <c r="A461">
        <v>460</v>
      </c>
      <c r="B461" s="2" t="s">
        <v>14</v>
      </c>
      <c r="C461" s="2" t="s">
        <v>14</v>
      </c>
      <c r="D461">
        <v>34050</v>
      </c>
      <c r="E461">
        <v>4</v>
      </c>
      <c r="F461">
        <v>2008</v>
      </c>
      <c r="G461">
        <v>0</v>
      </c>
      <c r="H461">
        <v>0</v>
      </c>
      <c r="I461">
        <v>0</v>
      </c>
      <c r="J461" s="2" t="s">
        <v>15</v>
      </c>
    </row>
    <row r="462" spans="1:10" x14ac:dyDescent="0.2">
      <c r="A462">
        <v>461</v>
      </c>
      <c r="B462" s="2" t="s">
        <v>17</v>
      </c>
      <c r="C462" s="2" t="s">
        <v>13</v>
      </c>
      <c r="D462">
        <v>1790</v>
      </c>
      <c r="E462">
        <v>7</v>
      </c>
      <c r="F462">
        <v>2013</v>
      </c>
      <c r="G462">
        <v>1</v>
      </c>
      <c r="H462">
        <v>40</v>
      </c>
      <c r="I462">
        <v>2013</v>
      </c>
      <c r="J462" s="2" t="s">
        <v>16</v>
      </c>
    </row>
    <row r="463" spans="1:10" x14ac:dyDescent="0.2">
      <c r="A463">
        <v>462</v>
      </c>
      <c r="B463" s="2" t="s">
        <v>14</v>
      </c>
      <c r="C463" s="2" t="s">
        <v>14</v>
      </c>
      <c r="D463">
        <v>44320</v>
      </c>
      <c r="E463">
        <v>8</v>
      </c>
      <c r="F463">
        <v>2008</v>
      </c>
      <c r="G463">
        <v>0</v>
      </c>
      <c r="H463">
        <v>0</v>
      </c>
      <c r="I463">
        <v>0</v>
      </c>
      <c r="J463" s="2" t="s">
        <v>15</v>
      </c>
    </row>
    <row r="464" spans="1:10" x14ac:dyDescent="0.2">
      <c r="A464">
        <v>463</v>
      </c>
      <c r="B464" s="2" t="s">
        <v>14</v>
      </c>
      <c r="C464" s="2" t="s">
        <v>14</v>
      </c>
      <c r="D464">
        <v>4160</v>
      </c>
      <c r="G464">
        <v>0</v>
      </c>
      <c r="H464">
        <v>0</v>
      </c>
      <c r="I464">
        <v>0</v>
      </c>
      <c r="J464" s="2" t="s">
        <v>15</v>
      </c>
    </row>
    <row r="465" spans="1:10" x14ac:dyDescent="0.2">
      <c r="A465">
        <v>464</v>
      </c>
      <c r="B465" s="2" t="s">
        <v>13</v>
      </c>
      <c r="C465" s="2" t="s">
        <v>14</v>
      </c>
      <c r="D465">
        <v>520</v>
      </c>
      <c r="E465">
        <v>3</v>
      </c>
      <c r="F465">
        <v>2009</v>
      </c>
      <c r="G465">
        <v>0</v>
      </c>
      <c r="H465">
        <v>0</v>
      </c>
      <c r="I465">
        <v>0</v>
      </c>
      <c r="J465" s="2" t="s">
        <v>15</v>
      </c>
    </row>
    <row r="466" spans="1:10" x14ac:dyDescent="0.2">
      <c r="A466">
        <v>465</v>
      </c>
      <c r="B466" s="2" t="s">
        <v>17</v>
      </c>
      <c r="C466" s="2" t="s">
        <v>13</v>
      </c>
      <c r="D466">
        <v>10890</v>
      </c>
      <c r="E466">
        <v>4</v>
      </c>
      <c r="F466">
        <v>2005</v>
      </c>
      <c r="G466">
        <v>0</v>
      </c>
      <c r="H466">
        <v>0</v>
      </c>
      <c r="I466">
        <v>0</v>
      </c>
      <c r="J466" s="2" t="s">
        <v>15</v>
      </c>
    </row>
    <row r="467" spans="1:10" x14ac:dyDescent="0.2">
      <c r="A467">
        <v>466</v>
      </c>
      <c r="B467" s="2" t="s">
        <v>14</v>
      </c>
      <c r="C467" s="2" t="s">
        <v>13</v>
      </c>
      <c r="D467">
        <v>3110</v>
      </c>
      <c r="E467">
        <v>3</v>
      </c>
      <c r="F467">
        <v>2003</v>
      </c>
      <c r="G467">
        <v>0</v>
      </c>
      <c r="H467">
        <v>0</v>
      </c>
      <c r="I467">
        <v>0</v>
      </c>
      <c r="J467" s="2" t="s">
        <v>15</v>
      </c>
    </row>
    <row r="468" spans="1:10" x14ac:dyDescent="0.2">
      <c r="A468">
        <v>467</v>
      </c>
      <c r="B468" s="2" t="s">
        <v>14</v>
      </c>
      <c r="C468" s="2" t="s">
        <v>13</v>
      </c>
      <c r="D468">
        <v>20390</v>
      </c>
      <c r="E468">
        <v>4</v>
      </c>
      <c r="F468">
        <v>2008</v>
      </c>
      <c r="G468">
        <v>0</v>
      </c>
      <c r="H468">
        <v>0</v>
      </c>
      <c r="I468">
        <v>0</v>
      </c>
      <c r="J468" s="2" t="s">
        <v>15</v>
      </c>
    </row>
    <row r="469" spans="1:10" x14ac:dyDescent="0.2">
      <c r="A469">
        <v>468</v>
      </c>
      <c r="B469" s="2" t="s">
        <v>13</v>
      </c>
      <c r="C469" s="2" t="s">
        <v>13</v>
      </c>
      <c r="D469">
        <v>5260</v>
      </c>
      <c r="E469">
        <v>9</v>
      </c>
      <c r="F469">
        <v>2012</v>
      </c>
      <c r="G469">
        <v>0</v>
      </c>
      <c r="H469">
        <v>0</v>
      </c>
      <c r="I469">
        <v>0</v>
      </c>
      <c r="J469" s="2" t="s">
        <v>15</v>
      </c>
    </row>
    <row r="470" spans="1:10" x14ac:dyDescent="0.2">
      <c r="A470">
        <v>469</v>
      </c>
      <c r="B470" s="2" t="s">
        <v>13</v>
      </c>
      <c r="C470" s="2" t="s">
        <v>13</v>
      </c>
      <c r="D470">
        <v>710</v>
      </c>
      <c r="E470">
        <v>9</v>
      </c>
      <c r="F470">
        <v>2005</v>
      </c>
      <c r="G470">
        <v>0</v>
      </c>
      <c r="H470">
        <v>0</v>
      </c>
      <c r="I470">
        <v>0</v>
      </c>
      <c r="J470" s="2" t="s">
        <v>15</v>
      </c>
    </row>
    <row r="471" spans="1:10" x14ac:dyDescent="0.2">
      <c r="A471">
        <v>470</v>
      </c>
      <c r="B471" s="2" t="s">
        <v>14</v>
      </c>
      <c r="C471" s="2" t="s">
        <v>13</v>
      </c>
      <c r="D471">
        <v>50</v>
      </c>
      <c r="G471">
        <v>0</v>
      </c>
      <c r="H471">
        <v>0</v>
      </c>
      <c r="I471">
        <v>0</v>
      </c>
      <c r="J471" s="2" t="s">
        <v>15</v>
      </c>
    </row>
    <row r="472" spans="1:10" x14ac:dyDescent="0.2">
      <c r="A472">
        <v>471</v>
      </c>
      <c r="B472" s="2" t="s">
        <v>17</v>
      </c>
      <c r="C472" s="2" t="s">
        <v>14</v>
      </c>
      <c r="D472">
        <v>5300</v>
      </c>
      <c r="G472">
        <v>1</v>
      </c>
      <c r="H472">
        <v>45</v>
      </c>
      <c r="I472">
        <v>2009</v>
      </c>
      <c r="J472" s="2" t="s">
        <v>18</v>
      </c>
    </row>
    <row r="473" spans="1:10" x14ac:dyDescent="0.2">
      <c r="A473">
        <v>472</v>
      </c>
      <c r="B473" s="2" t="s">
        <v>13</v>
      </c>
      <c r="C473" s="2" t="s">
        <v>13</v>
      </c>
      <c r="D473">
        <v>5030</v>
      </c>
      <c r="E473">
        <v>8</v>
      </c>
      <c r="F473">
        <v>2011</v>
      </c>
      <c r="G473">
        <v>0</v>
      </c>
      <c r="H473">
        <v>0</v>
      </c>
      <c r="I473">
        <v>0</v>
      </c>
      <c r="J473" s="2" t="s">
        <v>15</v>
      </c>
    </row>
    <row r="474" spans="1:10" x14ac:dyDescent="0.2">
      <c r="A474">
        <v>473</v>
      </c>
      <c r="B474" s="2" t="s">
        <v>14</v>
      </c>
      <c r="C474" s="2" t="s">
        <v>14</v>
      </c>
      <c r="D474">
        <v>50</v>
      </c>
      <c r="G474">
        <v>0</v>
      </c>
      <c r="H474">
        <v>0</v>
      </c>
      <c r="I474">
        <v>0</v>
      </c>
      <c r="J474" s="2" t="s">
        <v>15</v>
      </c>
    </row>
    <row r="475" spans="1:10" x14ac:dyDescent="0.2">
      <c r="A475">
        <v>474</v>
      </c>
      <c r="B475" s="2" t="s">
        <v>13</v>
      </c>
      <c r="C475" s="2" t="s">
        <v>14</v>
      </c>
      <c r="D475">
        <v>14810</v>
      </c>
      <c r="G475">
        <v>1</v>
      </c>
      <c r="H475">
        <v>14</v>
      </c>
      <c r="I475">
        <v>2011</v>
      </c>
      <c r="J475" s="2" t="s">
        <v>19</v>
      </c>
    </row>
    <row r="476" spans="1:10" x14ac:dyDescent="0.2">
      <c r="A476">
        <v>475</v>
      </c>
      <c r="B476" s="2" t="s">
        <v>14</v>
      </c>
      <c r="C476" s="2" t="s">
        <v>14</v>
      </c>
      <c r="D476">
        <v>140</v>
      </c>
      <c r="E476">
        <v>9</v>
      </c>
      <c r="F476">
        <v>2005</v>
      </c>
      <c r="G476">
        <v>0</v>
      </c>
      <c r="H476">
        <v>0</v>
      </c>
      <c r="I476">
        <v>0</v>
      </c>
      <c r="J476" s="2" t="s">
        <v>15</v>
      </c>
    </row>
    <row r="477" spans="1:10" x14ac:dyDescent="0.2">
      <c r="A477">
        <v>476</v>
      </c>
      <c r="B477" s="2" t="s">
        <v>17</v>
      </c>
      <c r="C477" s="2" t="s">
        <v>14</v>
      </c>
      <c r="D477">
        <v>8300</v>
      </c>
      <c r="E477">
        <v>9</v>
      </c>
      <c r="F477">
        <v>2006</v>
      </c>
      <c r="G477">
        <v>0</v>
      </c>
      <c r="H477">
        <v>0</v>
      </c>
      <c r="I477">
        <v>0</v>
      </c>
      <c r="J477" s="2" t="s">
        <v>15</v>
      </c>
    </row>
    <row r="478" spans="1:10" x14ac:dyDescent="0.2">
      <c r="A478">
        <v>477</v>
      </c>
      <c r="B478" s="2" t="s">
        <v>17</v>
      </c>
      <c r="C478" s="2" t="s">
        <v>14</v>
      </c>
      <c r="D478">
        <v>770</v>
      </c>
      <c r="E478">
        <v>7</v>
      </c>
      <c r="F478">
        <v>2010</v>
      </c>
      <c r="G478">
        <v>1</v>
      </c>
      <c r="H478">
        <v>35</v>
      </c>
      <c r="I478">
        <v>2010</v>
      </c>
      <c r="J478" s="2" t="s">
        <v>16</v>
      </c>
    </row>
    <row r="479" spans="1:10" x14ac:dyDescent="0.2">
      <c r="A479">
        <v>478</v>
      </c>
      <c r="B479" s="2" t="s">
        <v>17</v>
      </c>
      <c r="C479" s="2" t="s">
        <v>13</v>
      </c>
      <c r="D479">
        <v>1940</v>
      </c>
      <c r="E479">
        <v>3</v>
      </c>
      <c r="F479">
        <v>2012</v>
      </c>
      <c r="G479">
        <v>0</v>
      </c>
      <c r="H479">
        <v>0</v>
      </c>
      <c r="I479">
        <v>0</v>
      </c>
      <c r="J479" s="2" t="s">
        <v>15</v>
      </c>
    </row>
    <row r="480" spans="1:10" x14ac:dyDescent="0.2">
      <c r="A480">
        <v>479</v>
      </c>
      <c r="B480" s="2" t="s">
        <v>14</v>
      </c>
      <c r="C480" s="2" t="s">
        <v>14</v>
      </c>
      <c r="D480">
        <v>320</v>
      </c>
      <c r="E480">
        <v>12</v>
      </c>
      <c r="F480">
        <v>2005</v>
      </c>
      <c r="G480">
        <v>1</v>
      </c>
      <c r="H480">
        <v>9</v>
      </c>
      <c r="I480">
        <v>2011</v>
      </c>
      <c r="J480" s="2" t="s">
        <v>18</v>
      </c>
    </row>
    <row r="481" spans="1:10" x14ac:dyDescent="0.2">
      <c r="A481">
        <v>480</v>
      </c>
      <c r="B481" s="2" t="s">
        <v>14</v>
      </c>
      <c r="C481" s="2" t="s">
        <v>14</v>
      </c>
      <c r="D481">
        <v>300</v>
      </c>
      <c r="E481">
        <v>11</v>
      </c>
      <c r="F481">
        <v>2012</v>
      </c>
      <c r="G481">
        <v>0</v>
      </c>
      <c r="H481">
        <v>0</v>
      </c>
      <c r="I481">
        <v>0</v>
      </c>
      <c r="J481" s="2" t="s">
        <v>15</v>
      </c>
    </row>
    <row r="482" spans="1:10" x14ac:dyDescent="0.2">
      <c r="A482">
        <v>481</v>
      </c>
      <c r="B482" s="2" t="s">
        <v>13</v>
      </c>
      <c r="C482" s="2" t="s">
        <v>13</v>
      </c>
      <c r="D482">
        <v>7470</v>
      </c>
      <c r="G482">
        <v>1</v>
      </c>
      <c r="H482">
        <v>44</v>
      </c>
      <c r="I482">
        <v>2012</v>
      </c>
      <c r="J482" s="2" t="s">
        <v>18</v>
      </c>
    </row>
    <row r="483" spans="1:10" x14ac:dyDescent="0.2">
      <c r="A483">
        <v>482</v>
      </c>
      <c r="B483" s="2" t="s">
        <v>13</v>
      </c>
      <c r="C483" s="2" t="s">
        <v>14</v>
      </c>
      <c r="D483">
        <v>2550</v>
      </c>
      <c r="E483">
        <v>10</v>
      </c>
      <c r="F483">
        <v>2005</v>
      </c>
      <c r="G483">
        <v>0</v>
      </c>
      <c r="H483">
        <v>0</v>
      </c>
      <c r="I483">
        <v>0</v>
      </c>
      <c r="J483" s="2" t="s">
        <v>15</v>
      </c>
    </row>
    <row r="484" spans="1:10" x14ac:dyDescent="0.2">
      <c r="A484">
        <v>483</v>
      </c>
      <c r="B484" s="2" t="s">
        <v>14</v>
      </c>
      <c r="C484" s="2" t="s">
        <v>13</v>
      </c>
      <c r="D484">
        <v>2310</v>
      </c>
      <c r="E484">
        <v>9</v>
      </c>
      <c r="F484">
        <v>2011</v>
      </c>
      <c r="G484">
        <v>1</v>
      </c>
      <c r="H484">
        <v>13</v>
      </c>
      <c r="I484">
        <v>2010</v>
      </c>
      <c r="J484" s="2" t="s">
        <v>16</v>
      </c>
    </row>
    <row r="485" spans="1:10" x14ac:dyDescent="0.2">
      <c r="A485">
        <v>484</v>
      </c>
      <c r="B485" s="2" t="s">
        <v>14</v>
      </c>
      <c r="C485" s="2" t="s">
        <v>13</v>
      </c>
      <c r="D485">
        <v>14300</v>
      </c>
      <c r="E485">
        <v>3</v>
      </c>
      <c r="F485">
        <v>2011</v>
      </c>
      <c r="G485">
        <v>0</v>
      </c>
      <c r="H485">
        <v>0</v>
      </c>
      <c r="I485">
        <v>0</v>
      </c>
      <c r="J485" s="2" t="s">
        <v>15</v>
      </c>
    </row>
    <row r="486" spans="1:10" x14ac:dyDescent="0.2">
      <c r="A486">
        <v>485</v>
      </c>
      <c r="B486" s="2" t="s">
        <v>17</v>
      </c>
      <c r="C486" s="2" t="s">
        <v>13</v>
      </c>
      <c r="D486">
        <v>3270</v>
      </c>
      <c r="G486">
        <v>1</v>
      </c>
      <c r="H486">
        <v>22</v>
      </c>
      <c r="I486">
        <v>2012</v>
      </c>
      <c r="J486" s="2" t="s">
        <v>16</v>
      </c>
    </row>
    <row r="487" spans="1:10" x14ac:dyDescent="0.2">
      <c r="A487">
        <v>486</v>
      </c>
      <c r="B487" s="2" t="s">
        <v>14</v>
      </c>
      <c r="C487" s="2" t="s">
        <v>14</v>
      </c>
      <c r="D487">
        <v>2320</v>
      </c>
      <c r="G487">
        <v>1</v>
      </c>
      <c r="H487">
        <v>31</v>
      </c>
      <c r="I487">
        <v>2013</v>
      </c>
      <c r="J487" s="2" t="s">
        <v>16</v>
      </c>
    </row>
    <row r="488" spans="1:10" x14ac:dyDescent="0.2">
      <c r="A488">
        <v>487</v>
      </c>
      <c r="B488" s="2" t="s">
        <v>17</v>
      </c>
      <c r="C488" s="2" t="s">
        <v>13</v>
      </c>
      <c r="D488">
        <v>2180</v>
      </c>
      <c r="E488">
        <v>9</v>
      </c>
      <c r="F488">
        <v>2012</v>
      </c>
      <c r="G488">
        <v>1</v>
      </c>
      <c r="H488">
        <v>40</v>
      </c>
      <c r="I488">
        <v>2012</v>
      </c>
      <c r="J488" s="2" t="s">
        <v>16</v>
      </c>
    </row>
    <row r="489" spans="1:10" x14ac:dyDescent="0.2">
      <c r="A489">
        <v>488</v>
      </c>
      <c r="B489" s="2" t="s">
        <v>14</v>
      </c>
      <c r="C489" s="2" t="s">
        <v>13</v>
      </c>
      <c r="D489">
        <v>2890</v>
      </c>
      <c r="E489">
        <v>4</v>
      </c>
      <c r="F489">
        <v>2014</v>
      </c>
      <c r="G489">
        <v>0</v>
      </c>
      <c r="H489">
        <v>0</v>
      </c>
      <c r="I489">
        <v>0</v>
      </c>
      <c r="J489" s="2" t="s">
        <v>15</v>
      </c>
    </row>
    <row r="490" spans="1:10" x14ac:dyDescent="0.2">
      <c r="A490">
        <v>489</v>
      </c>
      <c r="B490" s="2" t="s">
        <v>14</v>
      </c>
      <c r="C490" s="2" t="s">
        <v>14</v>
      </c>
      <c r="D490">
        <v>14960</v>
      </c>
      <c r="E490">
        <v>11</v>
      </c>
      <c r="F490">
        <v>2013</v>
      </c>
      <c r="G490">
        <v>1</v>
      </c>
      <c r="H490">
        <v>37</v>
      </c>
      <c r="I490">
        <v>2009</v>
      </c>
      <c r="J490" s="2" t="s">
        <v>16</v>
      </c>
    </row>
    <row r="491" spans="1:10" x14ac:dyDescent="0.2">
      <c r="A491">
        <v>490</v>
      </c>
      <c r="B491" s="2" t="s">
        <v>14</v>
      </c>
      <c r="C491" s="2" t="s">
        <v>14</v>
      </c>
      <c r="D491">
        <v>660</v>
      </c>
      <c r="E491">
        <v>4</v>
      </c>
      <c r="F491">
        <v>2013</v>
      </c>
      <c r="G491">
        <v>1</v>
      </c>
      <c r="H491">
        <v>40</v>
      </c>
      <c r="I491">
        <v>2014</v>
      </c>
      <c r="J491" s="2" t="s">
        <v>16</v>
      </c>
    </row>
    <row r="492" spans="1:10" x14ac:dyDescent="0.2">
      <c r="A492">
        <v>491</v>
      </c>
      <c r="B492" s="2" t="s">
        <v>17</v>
      </c>
      <c r="C492" s="2" t="s">
        <v>13</v>
      </c>
      <c r="D492">
        <v>4680</v>
      </c>
      <c r="G492">
        <v>1</v>
      </c>
      <c r="H492">
        <v>22</v>
      </c>
      <c r="I492">
        <v>2012</v>
      </c>
      <c r="J492" s="2" t="s">
        <v>19</v>
      </c>
    </row>
    <row r="493" spans="1:10" x14ac:dyDescent="0.2">
      <c r="A493">
        <v>492</v>
      </c>
      <c r="B493" s="2" t="s">
        <v>14</v>
      </c>
      <c r="C493" s="2" t="s">
        <v>14</v>
      </c>
      <c r="D493">
        <v>1740</v>
      </c>
      <c r="E493">
        <v>3</v>
      </c>
      <c r="F493">
        <v>2008</v>
      </c>
      <c r="G493">
        <v>1</v>
      </c>
      <c r="H493">
        <v>40</v>
      </c>
      <c r="I493">
        <v>2012</v>
      </c>
      <c r="J493" s="2" t="s">
        <v>16</v>
      </c>
    </row>
    <row r="494" spans="1:10" x14ac:dyDescent="0.2">
      <c r="A494">
        <v>493</v>
      </c>
      <c r="B494" s="2" t="s">
        <v>17</v>
      </c>
      <c r="C494" s="2" t="s">
        <v>13</v>
      </c>
      <c r="D494">
        <v>1150</v>
      </c>
      <c r="G494">
        <v>1</v>
      </c>
      <c r="H494">
        <v>14</v>
      </c>
      <c r="I494">
        <v>2011</v>
      </c>
      <c r="J494" s="2" t="s">
        <v>16</v>
      </c>
    </row>
    <row r="495" spans="1:10" x14ac:dyDescent="0.2">
      <c r="A495">
        <v>494</v>
      </c>
      <c r="B495" s="2" t="s">
        <v>20</v>
      </c>
      <c r="C495" s="2" t="s">
        <v>14</v>
      </c>
      <c r="D495">
        <v>1260</v>
      </c>
      <c r="E495">
        <v>6</v>
      </c>
      <c r="F495">
        <v>2011</v>
      </c>
      <c r="G495">
        <v>0</v>
      </c>
      <c r="H495">
        <v>0</v>
      </c>
      <c r="I495">
        <v>0</v>
      </c>
      <c r="J495" s="2" t="s">
        <v>15</v>
      </c>
    </row>
    <row r="496" spans="1:10" x14ac:dyDescent="0.2">
      <c r="A496">
        <v>495</v>
      </c>
      <c r="B496" s="2" t="s">
        <v>17</v>
      </c>
      <c r="C496" s="2" t="s">
        <v>14</v>
      </c>
      <c r="D496">
        <v>5470</v>
      </c>
      <c r="G496">
        <v>1</v>
      </c>
      <c r="H496">
        <v>37</v>
      </c>
      <c r="I496">
        <v>2009</v>
      </c>
      <c r="J496" s="2" t="s">
        <v>16</v>
      </c>
    </row>
    <row r="497" spans="1:10" x14ac:dyDescent="0.2">
      <c r="A497">
        <v>496</v>
      </c>
      <c r="B497" s="2" t="s">
        <v>17</v>
      </c>
      <c r="C497" s="2" t="s">
        <v>13</v>
      </c>
      <c r="D497">
        <v>2780</v>
      </c>
      <c r="E497">
        <v>6</v>
      </c>
      <c r="F497">
        <v>2015</v>
      </c>
      <c r="G497">
        <v>0</v>
      </c>
      <c r="H497">
        <v>0</v>
      </c>
      <c r="I497">
        <v>0</v>
      </c>
      <c r="J497" s="2" t="s">
        <v>15</v>
      </c>
    </row>
    <row r="498" spans="1:10" x14ac:dyDescent="0.2">
      <c r="A498">
        <v>497</v>
      </c>
      <c r="B498" s="2" t="s">
        <v>14</v>
      </c>
      <c r="C498" s="2" t="s">
        <v>13</v>
      </c>
      <c r="D498">
        <v>1610</v>
      </c>
      <c r="G498">
        <v>0</v>
      </c>
      <c r="H498">
        <v>0</v>
      </c>
      <c r="I498">
        <v>0</v>
      </c>
      <c r="J498" s="2" t="s">
        <v>15</v>
      </c>
    </row>
    <row r="499" spans="1:10" x14ac:dyDescent="0.2">
      <c r="A499">
        <v>498</v>
      </c>
      <c r="B499" s="2" t="s">
        <v>14</v>
      </c>
      <c r="C499" s="2" t="s">
        <v>14</v>
      </c>
      <c r="D499">
        <v>990</v>
      </c>
      <c r="G499">
        <v>1</v>
      </c>
      <c r="H499">
        <v>40</v>
      </c>
      <c r="I499">
        <v>2014</v>
      </c>
      <c r="J499" s="2" t="s">
        <v>16</v>
      </c>
    </row>
    <row r="500" spans="1:10" x14ac:dyDescent="0.2">
      <c r="A500">
        <v>499</v>
      </c>
      <c r="B500" s="2" t="s">
        <v>13</v>
      </c>
      <c r="C500" s="2" t="s">
        <v>13</v>
      </c>
      <c r="D500">
        <v>450</v>
      </c>
      <c r="G500">
        <v>1</v>
      </c>
      <c r="H500">
        <v>5</v>
      </c>
      <c r="I500">
        <v>2013</v>
      </c>
      <c r="J500" s="2" t="s">
        <v>18</v>
      </c>
    </row>
    <row r="501" spans="1:10" x14ac:dyDescent="0.2">
      <c r="A501">
        <v>500</v>
      </c>
      <c r="B501" s="2" t="s">
        <v>17</v>
      </c>
      <c r="C501" s="2" t="s">
        <v>13</v>
      </c>
      <c r="D501">
        <v>10690</v>
      </c>
      <c r="E501">
        <v>9</v>
      </c>
      <c r="F501">
        <v>2007</v>
      </c>
      <c r="G501">
        <v>1</v>
      </c>
      <c r="H501">
        <v>5</v>
      </c>
      <c r="I501">
        <v>2013</v>
      </c>
      <c r="J501" s="2" t="s">
        <v>16</v>
      </c>
    </row>
    <row r="502" spans="1:10" x14ac:dyDescent="0.2">
      <c r="A502">
        <v>501</v>
      </c>
      <c r="B502" s="2" t="s">
        <v>14</v>
      </c>
      <c r="C502" s="2" t="s">
        <v>13</v>
      </c>
      <c r="D502">
        <v>1620</v>
      </c>
      <c r="E502">
        <v>9</v>
      </c>
      <c r="F502">
        <v>2006</v>
      </c>
      <c r="G502">
        <v>0</v>
      </c>
      <c r="H502">
        <v>0</v>
      </c>
      <c r="I502">
        <v>0</v>
      </c>
      <c r="J502" s="2" t="s">
        <v>15</v>
      </c>
    </row>
    <row r="503" spans="1:10" x14ac:dyDescent="0.2">
      <c r="A503">
        <v>502</v>
      </c>
      <c r="B503" s="2" t="s">
        <v>14</v>
      </c>
      <c r="C503" s="2" t="s">
        <v>14</v>
      </c>
      <c r="D503">
        <v>220</v>
      </c>
      <c r="E503">
        <v>2</v>
      </c>
      <c r="F503">
        <v>2002</v>
      </c>
      <c r="G503">
        <v>1</v>
      </c>
      <c r="H503">
        <v>37</v>
      </c>
      <c r="I503">
        <v>2009</v>
      </c>
      <c r="J503" s="2" t="s">
        <v>16</v>
      </c>
    </row>
    <row r="504" spans="1:10" x14ac:dyDescent="0.2">
      <c r="A504">
        <v>503</v>
      </c>
      <c r="B504" s="2" t="s">
        <v>17</v>
      </c>
      <c r="C504" s="2" t="s">
        <v>13</v>
      </c>
      <c r="D504">
        <v>13080</v>
      </c>
      <c r="E504">
        <v>9</v>
      </c>
      <c r="F504">
        <v>2006</v>
      </c>
      <c r="G504">
        <v>1</v>
      </c>
      <c r="H504">
        <v>14</v>
      </c>
      <c r="I504">
        <v>2011</v>
      </c>
      <c r="J504" s="2" t="s">
        <v>16</v>
      </c>
    </row>
    <row r="505" spans="1:10" x14ac:dyDescent="0.2">
      <c r="A505">
        <v>504</v>
      </c>
      <c r="B505" s="2" t="s">
        <v>13</v>
      </c>
      <c r="C505" s="2" t="s">
        <v>13</v>
      </c>
      <c r="D505">
        <v>820</v>
      </c>
      <c r="G505">
        <v>0</v>
      </c>
      <c r="H505">
        <v>0</v>
      </c>
      <c r="I505">
        <v>0</v>
      </c>
      <c r="J505" s="2" t="s">
        <v>15</v>
      </c>
    </row>
    <row r="506" spans="1:10" x14ac:dyDescent="0.2">
      <c r="A506">
        <v>505</v>
      </c>
      <c r="B506" s="2" t="s">
        <v>14</v>
      </c>
      <c r="C506" s="2" t="s">
        <v>14</v>
      </c>
      <c r="D506">
        <v>350</v>
      </c>
      <c r="G506">
        <v>1</v>
      </c>
      <c r="H506">
        <v>5</v>
      </c>
      <c r="I506">
        <v>2013</v>
      </c>
      <c r="J506" s="2" t="s">
        <v>18</v>
      </c>
    </row>
    <row r="507" spans="1:10" x14ac:dyDescent="0.2">
      <c r="A507">
        <v>506</v>
      </c>
      <c r="B507" s="2" t="s">
        <v>14</v>
      </c>
      <c r="C507" s="2" t="s">
        <v>14</v>
      </c>
      <c r="D507">
        <v>1850</v>
      </c>
      <c r="E507">
        <v>12</v>
      </c>
      <c r="F507">
        <v>2014</v>
      </c>
      <c r="G507">
        <v>1</v>
      </c>
      <c r="H507">
        <v>18</v>
      </c>
      <c r="I507">
        <v>2011</v>
      </c>
      <c r="J507" s="2" t="s">
        <v>18</v>
      </c>
    </row>
    <row r="508" spans="1:10" x14ac:dyDescent="0.2">
      <c r="A508">
        <v>507</v>
      </c>
      <c r="B508" s="2" t="s">
        <v>14</v>
      </c>
      <c r="C508" s="2" t="s">
        <v>13</v>
      </c>
      <c r="D508">
        <v>9070</v>
      </c>
      <c r="E508">
        <v>4</v>
      </c>
      <c r="F508">
        <v>2011</v>
      </c>
      <c r="G508">
        <v>1</v>
      </c>
      <c r="H508">
        <v>37</v>
      </c>
      <c r="I508">
        <v>2009</v>
      </c>
      <c r="J508" s="2" t="s">
        <v>16</v>
      </c>
    </row>
    <row r="509" spans="1:10" x14ac:dyDescent="0.2">
      <c r="A509">
        <v>508</v>
      </c>
      <c r="B509" s="2" t="s">
        <v>14</v>
      </c>
      <c r="C509" s="2" t="s">
        <v>13</v>
      </c>
      <c r="D509">
        <v>1280</v>
      </c>
      <c r="G509">
        <v>1</v>
      </c>
      <c r="H509">
        <v>40</v>
      </c>
      <c r="I509">
        <v>2011</v>
      </c>
      <c r="J509" s="2" t="s">
        <v>16</v>
      </c>
    </row>
    <row r="510" spans="1:10" x14ac:dyDescent="0.2">
      <c r="A510">
        <v>509</v>
      </c>
      <c r="B510" s="2" t="s">
        <v>14</v>
      </c>
      <c r="C510" s="2" t="s">
        <v>14</v>
      </c>
      <c r="D510">
        <v>4740</v>
      </c>
      <c r="E510">
        <v>7</v>
      </c>
      <c r="F510">
        <v>2008</v>
      </c>
      <c r="G510">
        <v>1</v>
      </c>
      <c r="H510">
        <v>37</v>
      </c>
      <c r="I510">
        <v>2009</v>
      </c>
      <c r="J510" s="2" t="s">
        <v>16</v>
      </c>
    </row>
    <row r="511" spans="1:10" x14ac:dyDescent="0.2">
      <c r="A511">
        <v>510</v>
      </c>
      <c r="B511" s="2" t="s">
        <v>14</v>
      </c>
      <c r="C511" s="2" t="s">
        <v>13</v>
      </c>
      <c r="D511">
        <v>8260</v>
      </c>
      <c r="G511">
        <v>0</v>
      </c>
      <c r="H511">
        <v>0</v>
      </c>
      <c r="I511">
        <v>0</v>
      </c>
      <c r="J511" s="2" t="s">
        <v>15</v>
      </c>
    </row>
    <row r="512" spans="1:10" x14ac:dyDescent="0.2">
      <c r="A512">
        <v>511</v>
      </c>
      <c r="B512" s="2" t="s">
        <v>14</v>
      </c>
      <c r="C512" s="2" t="s">
        <v>14</v>
      </c>
      <c r="D512">
        <v>2060</v>
      </c>
      <c r="E512">
        <v>9</v>
      </c>
      <c r="F512">
        <v>2009</v>
      </c>
      <c r="G512">
        <v>0</v>
      </c>
      <c r="H512">
        <v>0</v>
      </c>
      <c r="I512">
        <v>0</v>
      </c>
      <c r="J512" s="2" t="s">
        <v>15</v>
      </c>
    </row>
    <row r="513" spans="1:10" x14ac:dyDescent="0.2">
      <c r="A513">
        <v>512</v>
      </c>
      <c r="B513" s="2" t="s">
        <v>20</v>
      </c>
      <c r="C513" s="2" t="s">
        <v>20</v>
      </c>
      <c r="D513">
        <v>590</v>
      </c>
      <c r="G513">
        <v>1</v>
      </c>
      <c r="H513">
        <v>5</v>
      </c>
      <c r="I513">
        <v>2013</v>
      </c>
      <c r="J513" s="2" t="s">
        <v>19</v>
      </c>
    </row>
    <row r="514" spans="1:10" x14ac:dyDescent="0.2">
      <c r="A514">
        <v>513</v>
      </c>
      <c r="B514" s="2" t="s">
        <v>14</v>
      </c>
      <c r="C514" s="2" t="s">
        <v>14</v>
      </c>
      <c r="D514">
        <v>400</v>
      </c>
      <c r="E514">
        <v>8</v>
      </c>
      <c r="F514">
        <v>2013</v>
      </c>
      <c r="G514">
        <v>0</v>
      </c>
      <c r="H514">
        <v>0</v>
      </c>
      <c r="I514">
        <v>0</v>
      </c>
      <c r="J514" s="2" t="s">
        <v>15</v>
      </c>
    </row>
    <row r="515" spans="1:10" x14ac:dyDescent="0.2">
      <c r="A515">
        <v>514</v>
      </c>
      <c r="B515" s="2" t="s">
        <v>13</v>
      </c>
      <c r="C515" s="2" t="s">
        <v>13</v>
      </c>
      <c r="D515">
        <v>1200</v>
      </c>
      <c r="E515">
        <v>7</v>
      </c>
      <c r="F515">
        <v>2012</v>
      </c>
      <c r="G515">
        <v>1</v>
      </c>
      <c r="H515">
        <v>27</v>
      </c>
      <c r="I515">
        <v>2012</v>
      </c>
      <c r="J515" s="2" t="s">
        <v>16</v>
      </c>
    </row>
    <row r="516" spans="1:10" x14ac:dyDescent="0.2">
      <c r="A516">
        <v>515</v>
      </c>
      <c r="B516" s="2" t="s">
        <v>17</v>
      </c>
      <c r="C516" s="2" t="s">
        <v>13</v>
      </c>
      <c r="D516">
        <v>11260</v>
      </c>
      <c r="G516">
        <v>1</v>
      </c>
      <c r="H516">
        <v>9</v>
      </c>
      <c r="I516">
        <v>2011</v>
      </c>
      <c r="J516" s="2" t="s">
        <v>18</v>
      </c>
    </row>
    <row r="517" spans="1:10" x14ac:dyDescent="0.2">
      <c r="A517">
        <v>516</v>
      </c>
      <c r="B517" s="2" t="s">
        <v>14</v>
      </c>
      <c r="C517" s="2" t="s">
        <v>13</v>
      </c>
      <c r="D517">
        <v>20</v>
      </c>
      <c r="G517">
        <v>1</v>
      </c>
      <c r="H517">
        <v>35</v>
      </c>
      <c r="I517">
        <v>2010</v>
      </c>
      <c r="J517" s="2" t="s">
        <v>19</v>
      </c>
    </row>
    <row r="518" spans="1:10" x14ac:dyDescent="0.2">
      <c r="A518">
        <v>517</v>
      </c>
      <c r="B518" s="2" t="s">
        <v>14</v>
      </c>
      <c r="C518" s="2" t="s">
        <v>13</v>
      </c>
      <c r="D518">
        <v>22490</v>
      </c>
      <c r="G518">
        <v>0</v>
      </c>
      <c r="H518">
        <v>0</v>
      </c>
      <c r="I518">
        <v>0</v>
      </c>
      <c r="J518" s="2" t="s">
        <v>15</v>
      </c>
    </row>
    <row r="519" spans="1:10" x14ac:dyDescent="0.2">
      <c r="A519">
        <v>518</v>
      </c>
      <c r="B519" s="2" t="s">
        <v>17</v>
      </c>
      <c r="C519" s="2" t="s">
        <v>13</v>
      </c>
      <c r="D519">
        <v>3330</v>
      </c>
      <c r="E519">
        <v>3</v>
      </c>
      <c r="F519">
        <v>2015</v>
      </c>
      <c r="G519">
        <v>1</v>
      </c>
      <c r="H519">
        <v>13</v>
      </c>
      <c r="I519">
        <v>2010</v>
      </c>
      <c r="J519" s="2" t="s">
        <v>16</v>
      </c>
    </row>
    <row r="520" spans="1:10" x14ac:dyDescent="0.2">
      <c r="A520">
        <v>519</v>
      </c>
      <c r="B520" s="2" t="s">
        <v>13</v>
      </c>
      <c r="C520" s="2" t="s">
        <v>13</v>
      </c>
      <c r="D520">
        <v>2510</v>
      </c>
      <c r="E520">
        <v>8</v>
      </c>
      <c r="F520">
        <v>2009</v>
      </c>
      <c r="G520">
        <v>1</v>
      </c>
      <c r="H520">
        <v>1</v>
      </c>
      <c r="I520">
        <v>2012</v>
      </c>
      <c r="J520" s="2" t="s">
        <v>16</v>
      </c>
    </row>
    <row r="521" spans="1:10" x14ac:dyDescent="0.2">
      <c r="A521">
        <v>520</v>
      </c>
      <c r="B521" s="2" t="s">
        <v>14</v>
      </c>
      <c r="C521" s="2" t="s">
        <v>13</v>
      </c>
      <c r="D521">
        <v>6900</v>
      </c>
      <c r="G521">
        <v>1</v>
      </c>
      <c r="H521">
        <v>40</v>
      </c>
      <c r="I521">
        <v>2012</v>
      </c>
      <c r="J521" s="2" t="s">
        <v>19</v>
      </c>
    </row>
    <row r="522" spans="1:10" x14ac:dyDescent="0.2">
      <c r="A522">
        <v>521</v>
      </c>
      <c r="B522" s="2" t="s">
        <v>17</v>
      </c>
      <c r="C522" s="2" t="s">
        <v>14</v>
      </c>
      <c r="D522">
        <v>18610</v>
      </c>
      <c r="E522">
        <v>11</v>
      </c>
      <c r="F522">
        <v>2002</v>
      </c>
      <c r="G522">
        <v>1</v>
      </c>
      <c r="H522">
        <v>48</v>
      </c>
      <c r="I522">
        <v>2011</v>
      </c>
      <c r="J522" s="2" t="s">
        <v>19</v>
      </c>
    </row>
    <row r="523" spans="1:10" x14ac:dyDescent="0.2">
      <c r="A523">
        <v>522</v>
      </c>
      <c r="B523" s="2" t="s">
        <v>17</v>
      </c>
      <c r="C523" s="2" t="s">
        <v>13</v>
      </c>
      <c r="D523">
        <v>7160</v>
      </c>
      <c r="E523">
        <v>11</v>
      </c>
      <c r="F523">
        <v>2012</v>
      </c>
      <c r="G523">
        <v>1</v>
      </c>
      <c r="H523">
        <v>9</v>
      </c>
      <c r="I523">
        <v>2011</v>
      </c>
      <c r="J523" s="2" t="s">
        <v>16</v>
      </c>
    </row>
    <row r="524" spans="1:10" x14ac:dyDescent="0.2">
      <c r="A524">
        <v>523</v>
      </c>
      <c r="B524" s="2" t="s">
        <v>13</v>
      </c>
      <c r="C524" s="2" t="s">
        <v>13</v>
      </c>
      <c r="D524">
        <v>50</v>
      </c>
      <c r="E524">
        <v>11</v>
      </c>
      <c r="F524">
        <v>2013</v>
      </c>
      <c r="G524">
        <v>0</v>
      </c>
      <c r="H524">
        <v>0</v>
      </c>
      <c r="I524">
        <v>0</v>
      </c>
      <c r="J524" s="2" t="s">
        <v>15</v>
      </c>
    </row>
    <row r="525" spans="1:10" x14ac:dyDescent="0.2">
      <c r="A525">
        <v>524</v>
      </c>
      <c r="B525" s="2" t="s">
        <v>14</v>
      </c>
      <c r="C525" s="2" t="s">
        <v>13</v>
      </c>
      <c r="D525">
        <v>40860</v>
      </c>
      <c r="E525">
        <v>9</v>
      </c>
      <c r="F525">
        <v>2013</v>
      </c>
      <c r="G525">
        <v>0</v>
      </c>
      <c r="H525">
        <v>0</v>
      </c>
      <c r="I525">
        <v>0</v>
      </c>
      <c r="J525" s="2" t="s">
        <v>15</v>
      </c>
    </row>
    <row r="526" spans="1:10" x14ac:dyDescent="0.2">
      <c r="A526">
        <v>525</v>
      </c>
      <c r="B526" s="2" t="s">
        <v>17</v>
      </c>
      <c r="C526" s="2" t="s">
        <v>13</v>
      </c>
      <c r="D526">
        <v>1870</v>
      </c>
      <c r="E526">
        <v>9</v>
      </c>
      <c r="F526">
        <v>2013</v>
      </c>
      <c r="G526">
        <v>0</v>
      </c>
      <c r="H526">
        <v>0</v>
      </c>
      <c r="I526">
        <v>0</v>
      </c>
      <c r="J526" s="2" t="s">
        <v>15</v>
      </c>
    </row>
    <row r="527" spans="1:10" x14ac:dyDescent="0.2">
      <c r="A527">
        <v>526</v>
      </c>
      <c r="B527" s="2" t="s">
        <v>14</v>
      </c>
      <c r="C527" s="2" t="s">
        <v>14</v>
      </c>
      <c r="D527">
        <v>120</v>
      </c>
      <c r="G527">
        <v>1</v>
      </c>
      <c r="H527">
        <v>48</v>
      </c>
      <c r="I527">
        <v>2011</v>
      </c>
      <c r="J527" s="2" t="s">
        <v>19</v>
      </c>
    </row>
    <row r="528" spans="1:10" x14ac:dyDescent="0.2">
      <c r="A528">
        <v>527</v>
      </c>
      <c r="B528" s="2" t="s">
        <v>17</v>
      </c>
      <c r="C528" s="2" t="s">
        <v>13</v>
      </c>
      <c r="D528">
        <v>5830</v>
      </c>
      <c r="E528">
        <v>4</v>
      </c>
      <c r="F528">
        <v>2008</v>
      </c>
      <c r="G528">
        <v>0</v>
      </c>
      <c r="H528">
        <v>0</v>
      </c>
      <c r="I528">
        <v>0</v>
      </c>
      <c r="J528" s="2" t="s">
        <v>15</v>
      </c>
    </row>
    <row r="529" spans="1:10" x14ac:dyDescent="0.2">
      <c r="A529">
        <v>528</v>
      </c>
      <c r="B529" s="2" t="s">
        <v>14</v>
      </c>
      <c r="C529" s="2" t="s">
        <v>13</v>
      </c>
      <c r="D529">
        <v>20620</v>
      </c>
      <c r="G529">
        <v>1</v>
      </c>
      <c r="H529">
        <v>37</v>
      </c>
      <c r="I529">
        <v>2009</v>
      </c>
      <c r="J529" s="2" t="s">
        <v>16</v>
      </c>
    </row>
    <row r="530" spans="1:10" x14ac:dyDescent="0.2">
      <c r="A530">
        <v>529</v>
      </c>
      <c r="B530" s="2" t="s">
        <v>17</v>
      </c>
      <c r="C530" s="2" t="s">
        <v>13</v>
      </c>
      <c r="D530">
        <v>12920</v>
      </c>
      <c r="E530">
        <v>9</v>
      </c>
      <c r="F530">
        <v>2012</v>
      </c>
      <c r="G530">
        <v>0</v>
      </c>
      <c r="H530">
        <v>0</v>
      </c>
      <c r="I530">
        <v>0</v>
      </c>
      <c r="J530" s="2" t="s">
        <v>15</v>
      </c>
    </row>
    <row r="531" spans="1:10" x14ac:dyDescent="0.2">
      <c r="A531">
        <v>530</v>
      </c>
      <c r="B531" s="2" t="s">
        <v>14</v>
      </c>
      <c r="C531" s="2" t="s">
        <v>13</v>
      </c>
      <c r="D531">
        <v>18160</v>
      </c>
      <c r="G531">
        <v>0</v>
      </c>
      <c r="H531">
        <v>0</v>
      </c>
      <c r="I531">
        <v>0</v>
      </c>
      <c r="J531" s="2" t="s">
        <v>15</v>
      </c>
    </row>
    <row r="532" spans="1:10" x14ac:dyDescent="0.2">
      <c r="A532">
        <v>531</v>
      </c>
      <c r="B532" s="2" t="s">
        <v>14</v>
      </c>
      <c r="C532" s="2" t="s">
        <v>13</v>
      </c>
      <c r="D532">
        <v>4030</v>
      </c>
      <c r="G532">
        <v>0</v>
      </c>
      <c r="H532">
        <v>0</v>
      </c>
      <c r="I532">
        <v>0</v>
      </c>
      <c r="J532" s="2" t="s">
        <v>15</v>
      </c>
    </row>
    <row r="533" spans="1:10" x14ac:dyDescent="0.2">
      <c r="A533">
        <v>532</v>
      </c>
      <c r="B533" s="2" t="s">
        <v>14</v>
      </c>
      <c r="C533" s="2" t="s">
        <v>13</v>
      </c>
      <c r="D533">
        <v>1070</v>
      </c>
      <c r="E533">
        <v>8</v>
      </c>
      <c r="F533">
        <v>2010</v>
      </c>
      <c r="G533">
        <v>0</v>
      </c>
      <c r="H533">
        <v>0</v>
      </c>
      <c r="I533">
        <v>0</v>
      </c>
      <c r="J533" s="2" t="s">
        <v>15</v>
      </c>
    </row>
    <row r="534" spans="1:10" x14ac:dyDescent="0.2">
      <c r="A534">
        <v>533</v>
      </c>
      <c r="B534" s="2" t="s">
        <v>14</v>
      </c>
      <c r="C534" s="2" t="s">
        <v>13</v>
      </c>
      <c r="D534">
        <v>5950</v>
      </c>
      <c r="G534">
        <v>0</v>
      </c>
      <c r="H534">
        <v>0</v>
      </c>
      <c r="I534">
        <v>0</v>
      </c>
      <c r="J534" s="2" t="s">
        <v>15</v>
      </c>
    </row>
    <row r="535" spans="1:10" x14ac:dyDescent="0.2">
      <c r="A535">
        <v>534</v>
      </c>
      <c r="B535" s="2" t="s">
        <v>17</v>
      </c>
      <c r="C535" s="2" t="s">
        <v>14</v>
      </c>
      <c r="D535">
        <v>1200</v>
      </c>
      <c r="E535">
        <v>9</v>
      </c>
      <c r="F535">
        <v>2009</v>
      </c>
      <c r="G535">
        <v>1</v>
      </c>
      <c r="H535">
        <v>45</v>
      </c>
      <c r="I535">
        <v>2009</v>
      </c>
      <c r="J535" s="2" t="s">
        <v>16</v>
      </c>
    </row>
    <row r="536" spans="1:10" x14ac:dyDescent="0.2">
      <c r="A536">
        <v>535</v>
      </c>
      <c r="B536" s="2" t="s">
        <v>14</v>
      </c>
      <c r="C536" s="2" t="s">
        <v>14</v>
      </c>
      <c r="D536">
        <v>3570</v>
      </c>
      <c r="E536">
        <v>4</v>
      </c>
      <c r="F536">
        <v>2007</v>
      </c>
      <c r="G536">
        <v>0</v>
      </c>
      <c r="H536">
        <v>0</v>
      </c>
      <c r="I536">
        <v>0</v>
      </c>
      <c r="J536" s="2" t="s">
        <v>15</v>
      </c>
    </row>
    <row r="537" spans="1:10" x14ac:dyDescent="0.2">
      <c r="A537">
        <v>536</v>
      </c>
      <c r="B537" s="2" t="s">
        <v>14</v>
      </c>
      <c r="C537" s="2" t="s">
        <v>13</v>
      </c>
      <c r="D537">
        <v>4700</v>
      </c>
      <c r="E537">
        <v>9</v>
      </c>
      <c r="F537">
        <v>2002</v>
      </c>
      <c r="G537">
        <v>1</v>
      </c>
      <c r="H537">
        <v>31</v>
      </c>
      <c r="I537">
        <v>2013</v>
      </c>
      <c r="J537" s="2" t="s">
        <v>18</v>
      </c>
    </row>
    <row r="538" spans="1:10" x14ac:dyDescent="0.2">
      <c r="A538">
        <v>537</v>
      </c>
      <c r="B538" s="2" t="s">
        <v>14</v>
      </c>
      <c r="C538" s="2" t="s">
        <v>14</v>
      </c>
      <c r="D538">
        <v>600</v>
      </c>
      <c r="E538">
        <v>5</v>
      </c>
      <c r="F538">
        <v>2002</v>
      </c>
      <c r="G538">
        <v>1</v>
      </c>
      <c r="H538">
        <v>1</v>
      </c>
      <c r="I538">
        <v>2012</v>
      </c>
      <c r="J538" s="2" t="s">
        <v>16</v>
      </c>
    </row>
    <row r="539" spans="1:10" x14ac:dyDescent="0.2">
      <c r="A539">
        <v>538</v>
      </c>
      <c r="B539" s="2" t="s">
        <v>14</v>
      </c>
      <c r="C539" s="2" t="s">
        <v>14</v>
      </c>
      <c r="D539">
        <v>990</v>
      </c>
      <c r="E539">
        <v>2</v>
      </c>
      <c r="F539">
        <v>2010</v>
      </c>
      <c r="G539">
        <v>0</v>
      </c>
      <c r="H539">
        <v>0</v>
      </c>
      <c r="I539">
        <v>0</v>
      </c>
      <c r="J539" s="2" t="s">
        <v>15</v>
      </c>
    </row>
    <row r="540" spans="1:10" x14ac:dyDescent="0.2">
      <c r="A540">
        <v>539</v>
      </c>
      <c r="B540" s="2" t="s">
        <v>14</v>
      </c>
      <c r="C540" s="2" t="s">
        <v>14</v>
      </c>
      <c r="D540">
        <v>770</v>
      </c>
      <c r="E540">
        <v>5</v>
      </c>
      <c r="F540">
        <v>2013</v>
      </c>
      <c r="G540">
        <v>1</v>
      </c>
      <c r="H540">
        <v>40</v>
      </c>
      <c r="I540">
        <v>2014</v>
      </c>
      <c r="J540" s="2" t="s">
        <v>16</v>
      </c>
    </row>
    <row r="541" spans="1:10" x14ac:dyDescent="0.2">
      <c r="A541">
        <v>540</v>
      </c>
      <c r="B541" s="2" t="s">
        <v>17</v>
      </c>
      <c r="C541" s="2" t="s">
        <v>13</v>
      </c>
      <c r="D541">
        <v>810</v>
      </c>
      <c r="G541">
        <v>1</v>
      </c>
      <c r="H541">
        <v>48</v>
      </c>
      <c r="I541">
        <v>2012</v>
      </c>
      <c r="J541" s="2" t="s">
        <v>16</v>
      </c>
    </row>
    <row r="542" spans="1:10" x14ac:dyDescent="0.2">
      <c r="A542">
        <v>541</v>
      </c>
      <c r="B542" s="2" t="s">
        <v>14</v>
      </c>
      <c r="C542" s="2" t="s">
        <v>13</v>
      </c>
      <c r="D542">
        <v>650</v>
      </c>
      <c r="E542">
        <v>7</v>
      </c>
      <c r="F542">
        <v>1990</v>
      </c>
      <c r="G542">
        <v>0</v>
      </c>
      <c r="H542">
        <v>0</v>
      </c>
      <c r="I542">
        <v>0</v>
      </c>
      <c r="J542" s="2" t="s">
        <v>15</v>
      </c>
    </row>
    <row r="543" spans="1:10" x14ac:dyDescent="0.2">
      <c r="A543">
        <v>542</v>
      </c>
      <c r="B543" s="2" t="s">
        <v>14</v>
      </c>
      <c r="C543" s="2" t="s">
        <v>14</v>
      </c>
      <c r="D543">
        <v>7280</v>
      </c>
      <c r="E543">
        <v>9</v>
      </c>
      <c r="F543">
        <v>2012</v>
      </c>
      <c r="G543">
        <v>1</v>
      </c>
      <c r="H543">
        <v>1</v>
      </c>
      <c r="I543">
        <v>2013</v>
      </c>
      <c r="J543" s="2" t="s">
        <v>16</v>
      </c>
    </row>
    <row r="544" spans="1:10" x14ac:dyDescent="0.2">
      <c r="A544">
        <v>543</v>
      </c>
      <c r="B544" s="2" t="s">
        <v>13</v>
      </c>
      <c r="C544" s="2" t="s">
        <v>14</v>
      </c>
      <c r="D544">
        <v>1080</v>
      </c>
      <c r="E544">
        <v>12</v>
      </c>
      <c r="F544">
        <v>2012</v>
      </c>
      <c r="G544">
        <v>0</v>
      </c>
      <c r="H544">
        <v>0</v>
      </c>
      <c r="I544">
        <v>0</v>
      </c>
      <c r="J544" s="2" t="s">
        <v>15</v>
      </c>
    </row>
    <row r="545" spans="1:10" x14ac:dyDescent="0.2">
      <c r="A545">
        <v>544</v>
      </c>
      <c r="B545" s="2" t="s">
        <v>14</v>
      </c>
      <c r="C545" s="2" t="s">
        <v>14</v>
      </c>
      <c r="D545">
        <v>250</v>
      </c>
      <c r="E545">
        <v>12</v>
      </c>
      <c r="F545">
        <v>2001</v>
      </c>
      <c r="G545">
        <v>1</v>
      </c>
      <c r="H545">
        <v>13</v>
      </c>
      <c r="I545">
        <v>2010</v>
      </c>
      <c r="J545" s="2" t="s">
        <v>16</v>
      </c>
    </row>
    <row r="546" spans="1:10" x14ac:dyDescent="0.2">
      <c r="A546">
        <v>545</v>
      </c>
      <c r="B546" s="2" t="s">
        <v>14</v>
      </c>
      <c r="C546" s="2" t="s">
        <v>13</v>
      </c>
      <c r="D546">
        <v>5020</v>
      </c>
      <c r="E546">
        <v>5</v>
      </c>
      <c r="F546">
        <v>2006</v>
      </c>
      <c r="G546">
        <v>1</v>
      </c>
      <c r="H546">
        <v>18</v>
      </c>
      <c r="I546">
        <v>2014</v>
      </c>
      <c r="J546" s="2" t="s">
        <v>18</v>
      </c>
    </row>
    <row r="547" spans="1:10" x14ac:dyDescent="0.2">
      <c r="A547">
        <v>546</v>
      </c>
      <c r="B547" s="2" t="s">
        <v>14</v>
      </c>
      <c r="C547" s="2" t="s">
        <v>14</v>
      </c>
      <c r="D547">
        <v>580</v>
      </c>
      <c r="E547">
        <v>1</v>
      </c>
      <c r="F547">
        <v>2005</v>
      </c>
      <c r="G547">
        <v>0</v>
      </c>
      <c r="H547">
        <v>0</v>
      </c>
      <c r="I547">
        <v>0</v>
      </c>
      <c r="J547" s="2" t="s">
        <v>15</v>
      </c>
    </row>
    <row r="548" spans="1:10" x14ac:dyDescent="0.2">
      <c r="A548">
        <v>547</v>
      </c>
      <c r="B548" s="2" t="s">
        <v>17</v>
      </c>
      <c r="C548" s="2" t="s">
        <v>13</v>
      </c>
      <c r="D548">
        <v>8990</v>
      </c>
      <c r="E548">
        <v>11</v>
      </c>
      <c r="F548">
        <v>2009</v>
      </c>
      <c r="G548">
        <v>1</v>
      </c>
      <c r="H548">
        <v>35</v>
      </c>
      <c r="I548">
        <v>2010</v>
      </c>
      <c r="J548" s="2" t="s">
        <v>19</v>
      </c>
    </row>
    <row r="549" spans="1:10" x14ac:dyDescent="0.2">
      <c r="A549">
        <v>548</v>
      </c>
      <c r="B549" s="2" t="s">
        <v>17</v>
      </c>
      <c r="C549" s="2" t="s">
        <v>13</v>
      </c>
      <c r="D549">
        <v>3760</v>
      </c>
      <c r="E549">
        <v>2</v>
      </c>
      <c r="F549">
        <v>2009</v>
      </c>
      <c r="G549">
        <v>0</v>
      </c>
      <c r="H549">
        <v>0</v>
      </c>
      <c r="I549">
        <v>0</v>
      </c>
      <c r="J549" s="2" t="s">
        <v>15</v>
      </c>
    </row>
    <row r="550" spans="1:10" x14ac:dyDescent="0.2">
      <c r="A550">
        <v>549</v>
      </c>
      <c r="B550" s="2" t="s">
        <v>14</v>
      </c>
      <c r="C550" s="2" t="s">
        <v>13</v>
      </c>
      <c r="D550">
        <v>2330</v>
      </c>
      <c r="G550">
        <v>0</v>
      </c>
      <c r="H550">
        <v>0</v>
      </c>
      <c r="I550">
        <v>0</v>
      </c>
      <c r="J550" s="2" t="s">
        <v>15</v>
      </c>
    </row>
    <row r="551" spans="1:10" x14ac:dyDescent="0.2">
      <c r="A551">
        <v>550</v>
      </c>
      <c r="B551" s="2" t="s">
        <v>17</v>
      </c>
      <c r="C551" s="2" t="s">
        <v>13</v>
      </c>
      <c r="D551">
        <v>50</v>
      </c>
      <c r="E551">
        <v>6</v>
      </c>
      <c r="F551">
        <v>2015</v>
      </c>
      <c r="G551">
        <v>0</v>
      </c>
      <c r="H551">
        <v>0</v>
      </c>
      <c r="I551">
        <v>0</v>
      </c>
      <c r="J551" s="2" t="s">
        <v>15</v>
      </c>
    </row>
    <row r="552" spans="1:10" x14ac:dyDescent="0.2">
      <c r="A552">
        <v>551</v>
      </c>
      <c r="B552" s="2" t="s">
        <v>14</v>
      </c>
      <c r="C552" s="2" t="s">
        <v>13</v>
      </c>
      <c r="D552">
        <v>2190</v>
      </c>
      <c r="E552">
        <v>9</v>
      </c>
      <c r="F552">
        <v>2013</v>
      </c>
      <c r="G552">
        <v>0</v>
      </c>
      <c r="H552">
        <v>0</v>
      </c>
      <c r="I552">
        <v>0</v>
      </c>
      <c r="J552" s="2" t="s">
        <v>15</v>
      </c>
    </row>
    <row r="553" spans="1:10" x14ac:dyDescent="0.2">
      <c r="A553">
        <v>552</v>
      </c>
      <c r="B553" s="2" t="s">
        <v>14</v>
      </c>
      <c r="C553" s="2" t="s">
        <v>14</v>
      </c>
      <c r="D553">
        <v>4260</v>
      </c>
      <c r="E553">
        <v>7</v>
      </c>
      <c r="F553">
        <v>2008</v>
      </c>
      <c r="G553">
        <v>1</v>
      </c>
      <c r="H553">
        <v>37</v>
      </c>
      <c r="I553">
        <v>2009</v>
      </c>
      <c r="J553" s="2" t="s">
        <v>16</v>
      </c>
    </row>
    <row r="554" spans="1:10" x14ac:dyDescent="0.2">
      <c r="A554">
        <v>553</v>
      </c>
      <c r="B554" s="2" t="s">
        <v>13</v>
      </c>
      <c r="C554" s="2" t="s">
        <v>14</v>
      </c>
      <c r="D554">
        <v>3040</v>
      </c>
      <c r="E554">
        <v>9</v>
      </c>
      <c r="F554">
        <v>2002</v>
      </c>
      <c r="G554">
        <v>1</v>
      </c>
      <c r="H554">
        <v>13</v>
      </c>
      <c r="I554">
        <v>2010</v>
      </c>
      <c r="J554" s="2" t="s">
        <v>16</v>
      </c>
    </row>
    <row r="555" spans="1:10" x14ac:dyDescent="0.2">
      <c r="A555">
        <v>554</v>
      </c>
      <c r="B555" s="2" t="s">
        <v>13</v>
      </c>
      <c r="C555" s="2" t="s">
        <v>13</v>
      </c>
      <c r="D555">
        <v>1200</v>
      </c>
      <c r="G555">
        <v>0</v>
      </c>
      <c r="H555">
        <v>0</v>
      </c>
      <c r="I555">
        <v>0</v>
      </c>
      <c r="J555" s="2" t="s">
        <v>15</v>
      </c>
    </row>
    <row r="556" spans="1:10" x14ac:dyDescent="0.2">
      <c r="A556">
        <v>555</v>
      </c>
      <c r="B556" s="2" t="s">
        <v>17</v>
      </c>
      <c r="C556" s="2" t="s">
        <v>14</v>
      </c>
      <c r="D556">
        <v>1560</v>
      </c>
      <c r="E556">
        <v>1</v>
      </c>
      <c r="F556">
        <v>2014</v>
      </c>
      <c r="G556">
        <v>1</v>
      </c>
      <c r="H556">
        <v>10</v>
      </c>
      <c r="I556">
        <v>2013</v>
      </c>
      <c r="J556" s="2" t="s">
        <v>19</v>
      </c>
    </row>
    <row r="557" spans="1:10" x14ac:dyDescent="0.2">
      <c r="A557">
        <v>556</v>
      </c>
      <c r="B557" s="2" t="s">
        <v>17</v>
      </c>
      <c r="C557" s="2" t="s">
        <v>13</v>
      </c>
      <c r="D557">
        <v>1140</v>
      </c>
      <c r="E557">
        <v>11</v>
      </c>
      <c r="F557">
        <v>2014</v>
      </c>
      <c r="G557">
        <v>0</v>
      </c>
      <c r="H557">
        <v>0</v>
      </c>
      <c r="I557">
        <v>0</v>
      </c>
      <c r="J557" s="2" t="s">
        <v>15</v>
      </c>
    </row>
    <row r="558" spans="1:10" x14ac:dyDescent="0.2">
      <c r="A558">
        <v>557</v>
      </c>
      <c r="B558" s="2" t="s">
        <v>14</v>
      </c>
      <c r="C558" s="2" t="s">
        <v>14</v>
      </c>
      <c r="D558">
        <v>250</v>
      </c>
      <c r="G558">
        <v>0</v>
      </c>
      <c r="H558">
        <v>0</v>
      </c>
      <c r="I558">
        <v>0</v>
      </c>
      <c r="J558" s="2" t="s">
        <v>15</v>
      </c>
    </row>
    <row r="559" spans="1:10" x14ac:dyDescent="0.2">
      <c r="A559">
        <v>558</v>
      </c>
      <c r="B559" s="2" t="s">
        <v>14</v>
      </c>
      <c r="C559" s="2" t="s">
        <v>14</v>
      </c>
      <c r="D559">
        <v>3000</v>
      </c>
      <c r="E559">
        <v>2</v>
      </c>
      <c r="F559">
        <v>2010</v>
      </c>
      <c r="G559">
        <v>0</v>
      </c>
      <c r="H559">
        <v>0</v>
      </c>
      <c r="I559">
        <v>0</v>
      </c>
      <c r="J559" s="2" t="s">
        <v>15</v>
      </c>
    </row>
    <row r="560" spans="1:10" x14ac:dyDescent="0.2">
      <c r="A560">
        <v>559</v>
      </c>
      <c r="B560" s="2" t="s">
        <v>17</v>
      </c>
      <c r="C560" s="2" t="s">
        <v>14</v>
      </c>
      <c r="D560">
        <v>3910</v>
      </c>
      <c r="E560">
        <v>11</v>
      </c>
      <c r="F560">
        <v>2006</v>
      </c>
      <c r="G560">
        <v>1</v>
      </c>
      <c r="H560">
        <v>5</v>
      </c>
      <c r="I560">
        <v>2013</v>
      </c>
      <c r="J560" s="2" t="s">
        <v>18</v>
      </c>
    </row>
    <row r="561" spans="1:10" x14ac:dyDescent="0.2">
      <c r="A561">
        <v>560</v>
      </c>
      <c r="B561" s="2" t="s">
        <v>13</v>
      </c>
      <c r="C561" s="2" t="s">
        <v>13</v>
      </c>
      <c r="D561">
        <v>1910</v>
      </c>
      <c r="E561">
        <v>7</v>
      </c>
      <c r="F561">
        <v>2013</v>
      </c>
      <c r="G561">
        <v>0</v>
      </c>
      <c r="H561">
        <v>0</v>
      </c>
      <c r="I561">
        <v>0</v>
      </c>
      <c r="J561" s="2" t="s">
        <v>15</v>
      </c>
    </row>
    <row r="562" spans="1:10" x14ac:dyDescent="0.2">
      <c r="A562">
        <v>561</v>
      </c>
      <c r="B562" s="2" t="s">
        <v>17</v>
      </c>
      <c r="C562" s="2" t="s">
        <v>14</v>
      </c>
      <c r="D562">
        <v>14300</v>
      </c>
      <c r="G562">
        <v>0</v>
      </c>
      <c r="H562">
        <v>0</v>
      </c>
      <c r="I562">
        <v>0</v>
      </c>
      <c r="J562" s="2" t="s">
        <v>15</v>
      </c>
    </row>
    <row r="563" spans="1:10" x14ac:dyDescent="0.2">
      <c r="A563">
        <v>562</v>
      </c>
      <c r="B563" s="2" t="s">
        <v>20</v>
      </c>
      <c r="C563" s="2" t="s">
        <v>13</v>
      </c>
      <c r="D563">
        <v>1210</v>
      </c>
      <c r="G563">
        <v>0</v>
      </c>
      <c r="H563">
        <v>0</v>
      </c>
      <c r="I563">
        <v>0</v>
      </c>
      <c r="J563" s="2" t="s">
        <v>15</v>
      </c>
    </row>
    <row r="564" spans="1:10" x14ac:dyDescent="0.2">
      <c r="A564">
        <v>563</v>
      </c>
      <c r="B564" s="2" t="s">
        <v>14</v>
      </c>
      <c r="C564" s="2" t="s">
        <v>14</v>
      </c>
      <c r="D564">
        <v>700</v>
      </c>
      <c r="E564">
        <v>3</v>
      </c>
      <c r="F564">
        <v>2015</v>
      </c>
      <c r="G564">
        <v>1</v>
      </c>
      <c r="H564">
        <v>10</v>
      </c>
      <c r="I564">
        <v>2014</v>
      </c>
      <c r="J564" s="2" t="s">
        <v>16</v>
      </c>
    </row>
    <row r="565" spans="1:10" x14ac:dyDescent="0.2">
      <c r="A565">
        <v>564</v>
      </c>
      <c r="B565" s="2" t="s">
        <v>17</v>
      </c>
      <c r="C565" s="2" t="s">
        <v>13</v>
      </c>
      <c r="D565">
        <v>6540</v>
      </c>
      <c r="G565">
        <v>1</v>
      </c>
      <c r="H565">
        <v>14</v>
      </c>
      <c r="I565">
        <v>2013</v>
      </c>
      <c r="J565" s="2" t="s">
        <v>16</v>
      </c>
    </row>
    <row r="566" spans="1:10" x14ac:dyDescent="0.2">
      <c r="A566">
        <v>565</v>
      </c>
      <c r="B566" s="2" t="s">
        <v>14</v>
      </c>
      <c r="C566" s="2" t="s">
        <v>13</v>
      </c>
      <c r="D566">
        <v>160</v>
      </c>
      <c r="E566">
        <v>7</v>
      </c>
      <c r="F566">
        <v>2007</v>
      </c>
      <c r="G566">
        <v>0</v>
      </c>
      <c r="H566">
        <v>0</v>
      </c>
      <c r="I566">
        <v>0</v>
      </c>
      <c r="J566" s="2" t="s">
        <v>15</v>
      </c>
    </row>
    <row r="567" spans="1:10" x14ac:dyDescent="0.2">
      <c r="A567">
        <v>566</v>
      </c>
      <c r="B567" s="2" t="s">
        <v>14</v>
      </c>
      <c r="C567" s="2" t="s">
        <v>14</v>
      </c>
      <c r="D567">
        <v>3620</v>
      </c>
      <c r="G567">
        <v>1</v>
      </c>
      <c r="H567">
        <v>40</v>
      </c>
      <c r="I567">
        <v>2013</v>
      </c>
      <c r="J567" s="2" t="s">
        <v>16</v>
      </c>
    </row>
    <row r="568" spans="1:10" x14ac:dyDescent="0.2">
      <c r="A568">
        <v>567</v>
      </c>
      <c r="B568" s="2" t="s">
        <v>13</v>
      </c>
      <c r="C568" s="2" t="s">
        <v>14</v>
      </c>
      <c r="D568">
        <v>1010</v>
      </c>
      <c r="E568">
        <v>9</v>
      </c>
      <c r="F568">
        <v>2012</v>
      </c>
      <c r="G568">
        <v>1</v>
      </c>
      <c r="H568">
        <v>18</v>
      </c>
      <c r="I568">
        <v>2011</v>
      </c>
      <c r="J568" s="2" t="s">
        <v>18</v>
      </c>
    </row>
    <row r="569" spans="1:10" x14ac:dyDescent="0.2">
      <c r="A569">
        <v>568</v>
      </c>
      <c r="B569" s="2" t="s">
        <v>17</v>
      </c>
      <c r="C569" s="2" t="s">
        <v>13</v>
      </c>
      <c r="D569">
        <v>4270</v>
      </c>
      <c r="G569">
        <v>1</v>
      </c>
      <c r="H569">
        <v>1</v>
      </c>
      <c r="I569">
        <v>2013</v>
      </c>
      <c r="J569" s="2" t="s">
        <v>16</v>
      </c>
    </row>
    <row r="570" spans="1:10" x14ac:dyDescent="0.2">
      <c r="A570">
        <v>569</v>
      </c>
      <c r="B570" s="2" t="s">
        <v>14</v>
      </c>
      <c r="C570" s="2" t="s">
        <v>14</v>
      </c>
      <c r="D570">
        <v>1340</v>
      </c>
      <c r="E570">
        <v>9</v>
      </c>
      <c r="F570">
        <v>2006</v>
      </c>
      <c r="G570">
        <v>0</v>
      </c>
      <c r="H570">
        <v>0</v>
      </c>
      <c r="I570">
        <v>0</v>
      </c>
      <c r="J570" s="2" t="s">
        <v>15</v>
      </c>
    </row>
    <row r="571" spans="1:10" x14ac:dyDescent="0.2">
      <c r="A571">
        <v>570</v>
      </c>
      <c r="B571" s="2" t="s">
        <v>14</v>
      </c>
      <c r="C571" s="2" t="s">
        <v>14</v>
      </c>
      <c r="D571">
        <v>180</v>
      </c>
      <c r="E571">
        <v>11</v>
      </c>
      <c r="F571">
        <v>2006</v>
      </c>
      <c r="G571">
        <v>0</v>
      </c>
      <c r="H571">
        <v>0</v>
      </c>
      <c r="I571">
        <v>0</v>
      </c>
      <c r="J571" s="2" t="s">
        <v>15</v>
      </c>
    </row>
    <row r="572" spans="1:10" x14ac:dyDescent="0.2">
      <c r="A572">
        <v>571</v>
      </c>
      <c r="B572" s="2" t="s">
        <v>17</v>
      </c>
      <c r="C572" s="2" t="s">
        <v>14</v>
      </c>
      <c r="D572">
        <v>2110</v>
      </c>
      <c r="E572">
        <v>11</v>
      </c>
      <c r="F572">
        <v>1995</v>
      </c>
      <c r="G572">
        <v>1</v>
      </c>
      <c r="H572">
        <v>40</v>
      </c>
      <c r="I572">
        <v>2014</v>
      </c>
      <c r="J572" s="2" t="s">
        <v>16</v>
      </c>
    </row>
    <row r="573" spans="1:10" x14ac:dyDescent="0.2">
      <c r="A573">
        <v>572</v>
      </c>
      <c r="B573" s="2" t="s">
        <v>17</v>
      </c>
      <c r="C573" s="2" t="s">
        <v>13</v>
      </c>
      <c r="D573">
        <v>9230</v>
      </c>
      <c r="E573">
        <v>4</v>
      </c>
      <c r="F573">
        <v>2004</v>
      </c>
      <c r="G573">
        <v>1</v>
      </c>
      <c r="H573">
        <v>37</v>
      </c>
      <c r="I573">
        <v>2009</v>
      </c>
      <c r="J573" s="2" t="s">
        <v>16</v>
      </c>
    </row>
    <row r="574" spans="1:10" x14ac:dyDescent="0.2">
      <c r="A574">
        <v>573</v>
      </c>
      <c r="B574" s="2" t="s">
        <v>14</v>
      </c>
      <c r="C574" s="2" t="s">
        <v>14</v>
      </c>
      <c r="D574">
        <v>1190</v>
      </c>
      <c r="E574">
        <v>11</v>
      </c>
      <c r="F574">
        <v>2012</v>
      </c>
      <c r="G574">
        <v>1</v>
      </c>
      <c r="H574">
        <v>36</v>
      </c>
      <c r="I574">
        <v>2013</v>
      </c>
      <c r="J574" s="2" t="s">
        <v>16</v>
      </c>
    </row>
    <row r="575" spans="1:10" x14ac:dyDescent="0.2">
      <c r="A575">
        <v>574</v>
      </c>
      <c r="B575" s="2" t="s">
        <v>17</v>
      </c>
      <c r="C575" s="2" t="s">
        <v>14</v>
      </c>
      <c r="D575">
        <v>4400</v>
      </c>
      <c r="G575">
        <v>0</v>
      </c>
      <c r="H575">
        <v>0</v>
      </c>
      <c r="I575">
        <v>0</v>
      </c>
      <c r="J575" s="2" t="s">
        <v>15</v>
      </c>
    </row>
    <row r="576" spans="1:10" x14ac:dyDescent="0.2">
      <c r="A576">
        <v>575</v>
      </c>
      <c r="B576" s="2" t="s">
        <v>14</v>
      </c>
      <c r="C576" s="2" t="s">
        <v>14</v>
      </c>
      <c r="D576">
        <v>960</v>
      </c>
      <c r="E576">
        <v>5</v>
      </c>
      <c r="F576">
        <v>2008</v>
      </c>
      <c r="G576">
        <v>1</v>
      </c>
      <c r="H576">
        <v>13</v>
      </c>
      <c r="I576">
        <v>2010</v>
      </c>
      <c r="J576" s="2" t="s">
        <v>16</v>
      </c>
    </row>
    <row r="577" spans="1:10" x14ac:dyDescent="0.2">
      <c r="A577">
        <v>576</v>
      </c>
      <c r="B577" s="2" t="s">
        <v>13</v>
      </c>
      <c r="C577" s="2" t="s">
        <v>14</v>
      </c>
      <c r="D577">
        <v>50</v>
      </c>
      <c r="E577">
        <v>11</v>
      </c>
      <c r="F577">
        <v>2006</v>
      </c>
      <c r="G577">
        <v>0</v>
      </c>
      <c r="H577">
        <v>0</v>
      </c>
      <c r="I577">
        <v>0</v>
      </c>
      <c r="J577" s="2" t="s">
        <v>15</v>
      </c>
    </row>
    <row r="578" spans="1:10" x14ac:dyDescent="0.2">
      <c r="A578">
        <v>577</v>
      </c>
      <c r="B578" s="2" t="s">
        <v>14</v>
      </c>
      <c r="C578" s="2" t="s">
        <v>13</v>
      </c>
      <c r="D578">
        <v>2270</v>
      </c>
      <c r="G578">
        <v>1</v>
      </c>
      <c r="H578">
        <v>35</v>
      </c>
      <c r="I578">
        <v>2012</v>
      </c>
      <c r="J578" s="2" t="s">
        <v>19</v>
      </c>
    </row>
    <row r="579" spans="1:10" x14ac:dyDescent="0.2">
      <c r="A579">
        <v>578</v>
      </c>
      <c r="B579" s="2" t="s">
        <v>17</v>
      </c>
      <c r="C579" s="2" t="s">
        <v>14</v>
      </c>
      <c r="D579">
        <v>12700</v>
      </c>
      <c r="E579">
        <v>4</v>
      </c>
      <c r="F579">
        <v>2013</v>
      </c>
      <c r="G579">
        <v>0</v>
      </c>
      <c r="H579">
        <v>0</v>
      </c>
      <c r="I579">
        <v>0</v>
      </c>
      <c r="J579" s="2" t="s">
        <v>15</v>
      </c>
    </row>
    <row r="580" spans="1:10" x14ac:dyDescent="0.2">
      <c r="A580">
        <v>579</v>
      </c>
      <c r="B580" s="2" t="s">
        <v>13</v>
      </c>
      <c r="C580" s="2" t="s">
        <v>14</v>
      </c>
      <c r="D580">
        <v>20970</v>
      </c>
      <c r="E580">
        <v>11</v>
      </c>
      <c r="F580">
        <v>2012</v>
      </c>
      <c r="G580">
        <v>0</v>
      </c>
      <c r="H580">
        <v>0</v>
      </c>
      <c r="I580">
        <v>0</v>
      </c>
      <c r="J580" s="2" t="s">
        <v>15</v>
      </c>
    </row>
    <row r="581" spans="1:10" x14ac:dyDescent="0.2">
      <c r="A581">
        <v>580</v>
      </c>
      <c r="B581" s="2" t="s">
        <v>14</v>
      </c>
      <c r="C581" s="2" t="s">
        <v>13</v>
      </c>
      <c r="D581">
        <v>170</v>
      </c>
      <c r="E581">
        <v>2</v>
      </c>
      <c r="F581">
        <v>2009</v>
      </c>
      <c r="G581">
        <v>0</v>
      </c>
      <c r="H581">
        <v>0</v>
      </c>
      <c r="I581">
        <v>0</v>
      </c>
      <c r="J581" s="2" t="s">
        <v>15</v>
      </c>
    </row>
    <row r="582" spans="1:10" x14ac:dyDescent="0.2">
      <c r="A582">
        <v>581</v>
      </c>
      <c r="B582" s="2" t="s">
        <v>14</v>
      </c>
      <c r="C582" s="2" t="s">
        <v>14</v>
      </c>
      <c r="D582">
        <v>7250</v>
      </c>
      <c r="E582">
        <v>12</v>
      </c>
      <c r="F582">
        <v>2013</v>
      </c>
      <c r="G582">
        <v>0</v>
      </c>
      <c r="H582">
        <v>0</v>
      </c>
      <c r="I582">
        <v>0</v>
      </c>
      <c r="J582" s="2" t="s">
        <v>15</v>
      </c>
    </row>
    <row r="583" spans="1:10" x14ac:dyDescent="0.2">
      <c r="A583">
        <v>582</v>
      </c>
      <c r="B583" s="2" t="s">
        <v>14</v>
      </c>
      <c r="C583" s="2" t="s">
        <v>14</v>
      </c>
      <c r="D583">
        <v>120</v>
      </c>
      <c r="G583">
        <v>0</v>
      </c>
      <c r="H583">
        <v>0</v>
      </c>
      <c r="I583">
        <v>0</v>
      </c>
      <c r="J583" s="2" t="s">
        <v>15</v>
      </c>
    </row>
    <row r="584" spans="1:10" x14ac:dyDescent="0.2">
      <c r="A584">
        <v>583</v>
      </c>
      <c r="B584" s="2" t="s">
        <v>14</v>
      </c>
      <c r="C584" s="2" t="s">
        <v>14</v>
      </c>
      <c r="D584">
        <v>2640</v>
      </c>
      <c r="E584">
        <v>11</v>
      </c>
      <c r="F584">
        <v>2002</v>
      </c>
      <c r="G584">
        <v>0</v>
      </c>
      <c r="H584">
        <v>0</v>
      </c>
      <c r="I584">
        <v>0</v>
      </c>
      <c r="J584" s="2" t="s">
        <v>15</v>
      </c>
    </row>
    <row r="585" spans="1:10" x14ac:dyDescent="0.2">
      <c r="A585">
        <v>584</v>
      </c>
      <c r="B585" s="2" t="s">
        <v>17</v>
      </c>
      <c r="C585" s="2" t="s">
        <v>14</v>
      </c>
      <c r="D585">
        <v>1360</v>
      </c>
      <c r="G585">
        <v>1</v>
      </c>
      <c r="H585">
        <v>35</v>
      </c>
      <c r="I585">
        <v>2010</v>
      </c>
      <c r="J585" s="2" t="s">
        <v>19</v>
      </c>
    </row>
    <row r="586" spans="1:10" x14ac:dyDescent="0.2">
      <c r="A586">
        <v>585</v>
      </c>
      <c r="B586" s="2" t="s">
        <v>17</v>
      </c>
      <c r="C586" s="2" t="s">
        <v>13</v>
      </c>
      <c r="D586">
        <v>440</v>
      </c>
      <c r="E586">
        <v>4</v>
      </c>
      <c r="F586">
        <v>2014</v>
      </c>
      <c r="G586">
        <v>0</v>
      </c>
      <c r="H586">
        <v>0</v>
      </c>
      <c r="I586">
        <v>0</v>
      </c>
      <c r="J586" s="2" t="s">
        <v>15</v>
      </c>
    </row>
    <row r="587" spans="1:10" x14ac:dyDescent="0.2">
      <c r="A587">
        <v>586</v>
      </c>
      <c r="B587" s="2" t="s">
        <v>14</v>
      </c>
      <c r="C587" s="2" t="s">
        <v>13</v>
      </c>
      <c r="D587">
        <v>250</v>
      </c>
      <c r="E587">
        <v>10</v>
      </c>
      <c r="F587">
        <v>2008</v>
      </c>
      <c r="G587">
        <v>0</v>
      </c>
      <c r="H587">
        <v>0</v>
      </c>
      <c r="I587">
        <v>0</v>
      </c>
      <c r="J587" s="2" t="s">
        <v>15</v>
      </c>
    </row>
    <row r="588" spans="1:10" x14ac:dyDescent="0.2">
      <c r="A588">
        <v>587</v>
      </c>
      <c r="B588" s="2" t="s">
        <v>17</v>
      </c>
      <c r="C588" s="2" t="s">
        <v>13</v>
      </c>
      <c r="D588">
        <v>330</v>
      </c>
      <c r="E588">
        <v>9</v>
      </c>
      <c r="F588">
        <v>2006</v>
      </c>
      <c r="G588">
        <v>1</v>
      </c>
      <c r="H588">
        <v>14</v>
      </c>
      <c r="I588">
        <v>2011</v>
      </c>
      <c r="J588" s="2" t="s">
        <v>16</v>
      </c>
    </row>
    <row r="589" spans="1:10" x14ac:dyDescent="0.2">
      <c r="A589">
        <v>588</v>
      </c>
      <c r="B589" s="2" t="s">
        <v>17</v>
      </c>
      <c r="C589" s="2" t="s">
        <v>13</v>
      </c>
      <c r="D589">
        <v>15720</v>
      </c>
      <c r="E589">
        <v>3</v>
      </c>
      <c r="F589">
        <v>2010</v>
      </c>
      <c r="G589">
        <v>0</v>
      </c>
      <c r="H589">
        <v>0</v>
      </c>
      <c r="I589">
        <v>0</v>
      </c>
      <c r="J589" s="2" t="s">
        <v>15</v>
      </c>
    </row>
    <row r="590" spans="1:10" x14ac:dyDescent="0.2">
      <c r="A590">
        <v>589</v>
      </c>
      <c r="B590" s="2" t="s">
        <v>14</v>
      </c>
      <c r="C590" s="2" t="s">
        <v>13</v>
      </c>
      <c r="D590">
        <v>360</v>
      </c>
      <c r="G590">
        <v>1</v>
      </c>
      <c r="H590">
        <v>18</v>
      </c>
      <c r="I590">
        <v>2013</v>
      </c>
      <c r="J590" s="2" t="s">
        <v>18</v>
      </c>
    </row>
    <row r="591" spans="1:10" x14ac:dyDescent="0.2">
      <c r="A591">
        <v>590</v>
      </c>
      <c r="B591" s="2" t="s">
        <v>17</v>
      </c>
      <c r="C591" s="2" t="s">
        <v>13</v>
      </c>
      <c r="D591">
        <v>4520</v>
      </c>
      <c r="E591">
        <v>9</v>
      </c>
      <c r="F591">
        <v>2010</v>
      </c>
      <c r="G591">
        <v>1</v>
      </c>
      <c r="H591">
        <v>31</v>
      </c>
      <c r="I591">
        <v>2013</v>
      </c>
      <c r="J591" s="2" t="s">
        <v>16</v>
      </c>
    </row>
    <row r="592" spans="1:10" x14ac:dyDescent="0.2">
      <c r="A592">
        <v>591</v>
      </c>
      <c r="B592" s="2" t="s">
        <v>14</v>
      </c>
      <c r="C592" s="2" t="s">
        <v>13</v>
      </c>
      <c r="D592">
        <v>3340</v>
      </c>
      <c r="G592">
        <v>1</v>
      </c>
      <c r="H592">
        <v>22</v>
      </c>
      <c r="I592">
        <v>2012</v>
      </c>
      <c r="J592" s="2" t="s">
        <v>19</v>
      </c>
    </row>
    <row r="593" spans="1:10" x14ac:dyDescent="0.2">
      <c r="A593">
        <v>592</v>
      </c>
      <c r="B593" s="2" t="s">
        <v>14</v>
      </c>
      <c r="C593" s="2" t="s">
        <v>14</v>
      </c>
      <c r="D593">
        <v>2540</v>
      </c>
      <c r="E593">
        <v>6</v>
      </c>
      <c r="F593">
        <v>2005</v>
      </c>
      <c r="G593">
        <v>0</v>
      </c>
      <c r="H593">
        <v>0</v>
      </c>
      <c r="I593">
        <v>0</v>
      </c>
      <c r="J593" s="2" t="s">
        <v>15</v>
      </c>
    </row>
    <row r="594" spans="1:10" x14ac:dyDescent="0.2">
      <c r="A594">
        <v>593</v>
      </c>
      <c r="B594" s="2" t="s">
        <v>14</v>
      </c>
      <c r="C594" s="2" t="s">
        <v>13</v>
      </c>
      <c r="D594">
        <v>33060</v>
      </c>
      <c r="E594">
        <v>3</v>
      </c>
      <c r="F594">
        <v>2010</v>
      </c>
      <c r="G594">
        <v>0</v>
      </c>
      <c r="H594">
        <v>0</v>
      </c>
      <c r="I594">
        <v>0</v>
      </c>
      <c r="J594" s="2" t="s">
        <v>15</v>
      </c>
    </row>
    <row r="595" spans="1:10" x14ac:dyDescent="0.2">
      <c r="A595">
        <v>594</v>
      </c>
      <c r="B595" s="2" t="s">
        <v>14</v>
      </c>
      <c r="C595" s="2" t="s">
        <v>14</v>
      </c>
      <c r="D595">
        <v>1790</v>
      </c>
      <c r="E595">
        <v>10</v>
      </c>
      <c r="F595">
        <v>2011</v>
      </c>
      <c r="G595">
        <v>0</v>
      </c>
      <c r="H595">
        <v>0</v>
      </c>
      <c r="I595">
        <v>0</v>
      </c>
      <c r="J595" s="2" t="s">
        <v>15</v>
      </c>
    </row>
    <row r="596" spans="1:10" x14ac:dyDescent="0.2">
      <c r="A596">
        <v>595</v>
      </c>
      <c r="B596" s="2" t="s">
        <v>13</v>
      </c>
      <c r="C596" s="2" t="s">
        <v>13</v>
      </c>
      <c r="D596">
        <v>1130</v>
      </c>
      <c r="E596">
        <v>6</v>
      </c>
      <c r="F596">
        <v>2015</v>
      </c>
      <c r="G596">
        <v>0</v>
      </c>
      <c r="H596">
        <v>0</v>
      </c>
      <c r="I596">
        <v>0</v>
      </c>
      <c r="J596" s="2" t="s">
        <v>15</v>
      </c>
    </row>
    <row r="597" spans="1:10" x14ac:dyDescent="0.2">
      <c r="A597">
        <v>596</v>
      </c>
      <c r="B597" s="2" t="s">
        <v>13</v>
      </c>
      <c r="C597" s="2" t="s">
        <v>14</v>
      </c>
      <c r="D597">
        <v>290</v>
      </c>
      <c r="E597">
        <v>9</v>
      </c>
      <c r="F597">
        <v>2006</v>
      </c>
      <c r="G597">
        <v>0</v>
      </c>
      <c r="H597">
        <v>0</v>
      </c>
      <c r="I597">
        <v>0</v>
      </c>
      <c r="J597" s="2" t="s">
        <v>15</v>
      </c>
    </row>
    <row r="598" spans="1:10" x14ac:dyDescent="0.2">
      <c r="A598">
        <v>597</v>
      </c>
      <c r="B598" s="2" t="s">
        <v>14</v>
      </c>
      <c r="C598" s="2" t="s">
        <v>14</v>
      </c>
      <c r="D598">
        <v>150</v>
      </c>
      <c r="E598">
        <v>9</v>
      </c>
      <c r="F598">
        <v>2008</v>
      </c>
      <c r="G598">
        <v>1</v>
      </c>
      <c r="H598">
        <v>1</v>
      </c>
      <c r="I598">
        <v>2012</v>
      </c>
      <c r="J598" s="2" t="s">
        <v>19</v>
      </c>
    </row>
    <row r="599" spans="1:10" x14ac:dyDescent="0.2">
      <c r="A599">
        <v>598</v>
      </c>
      <c r="B599" s="2" t="s">
        <v>13</v>
      </c>
      <c r="C599" s="2" t="s">
        <v>14</v>
      </c>
      <c r="D599">
        <v>550</v>
      </c>
      <c r="E599">
        <v>12</v>
      </c>
      <c r="F599">
        <v>2013</v>
      </c>
      <c r="G599">
        <v>1</v>
      </c>
      <c r="H599">
        <v>40</v>
      </c>
      <c r="I599">
        <v>2014</v>
      </c>
      <c r="J599" s="2" t="s">
        <v>16</v>
      </c>
    </row>
    <row r="600" spans="1:10" x14ac:dyDescent="0.2">
      <c r="A600">
        <v>599</v>
      </c>
      <c r="B600" s="2" t="s">
        <v>17</v>
      </c>
      <c r="C600" s="2" t="s">
        <v>13</v>
      </c>
      <c r="D600">
        <v>580</v>
      </c>
      <c r="E600">
        <v>11</v>
      </c>
      <c r="F600">
        <v>2014</v>
      </c>
      <c r="G600">
        <v>0</v>
      </c>
      <c r="H600">
        <v>0</v>
      </c>
      <c r="I600">
        <v>0</v>
      </c>
      <c r="J600" s="2" t="s">
        <v>15</v>
      </c>
    </row>
    <row r="601" spans="1:10" x14ac:dyDescent="0.2">
      <c r="A601">
        <v>600</v>
      </c>
      <c r="B601" s="2" t="s">
        <v>17</v>
      </c>
      <c r="C601" s="2" t="s">
        <v>13</v>
      </c>
      <c r="D601">
        <v>17340</v>
      </c>
      <c r="E601">
        <v>6</v>
      </c>
      <c r="F601">
        <v>2010</v>
      </c>
      <c r="G601">
        <v>1</v>
      </c>
      <c r="H601">
        <v>9</v>
      </c>
      <c r="I601">
        <v>2011</v>
      </c>
      <c r="J601" s="2" t="s">
        <v>18</v>
      </c>
    </row>
    <row r="602" spans="1:10" x14ac:dyDescent="0.2">
      <c r="A602">
        <v>601</v>
      </c>
      <c r="B602" s="2" t="s">
        <v>17</v>
      </c>
      <c r="C602" s="2" t="s">
        <v>14</v>
      </c>
      <c r="D602">
        <v>8220</v>
      </c>
      <c r="E602">
        <v>4</v>
      </c>
      <c r="F602">
        <v>2014</v>
      </c>
      <c r="G602">
        <v>1</v>
      </c>
      <c r="H602">
        <v>14</v>
      </c>
      <c r="I602">
        <v>2011</v>
      </c>
      <c r="J602" s="2" t="s">
        <v>16</v>
      </c>
    </row>
    <row r="603" spans="1:10" x14ac:dyDescent="0.2">
      <c r="A603">
        <v>602</v>
      </c>
      <c r="B603" s="2" t="s">
        <v>14</v>
      </c>
      <c r="C603" s="2" t="s">
        <v>14</v>
      </c>
      <c r="D603">
        <v>2710</v>
      </c>
      <c r="E603">
        <v>7</v>
      </c>
      <c r="F603">
        <v>2001</v>
      </c>
      <c r="G603">
        <v>1</v>
      </c>
      <c r="H603">
        <v>22</v>
      </c>
      <c r="I603">
        <v>2012</v>
      </c>
      <c r="J603" s="2" t="s">
        <v>19</v>
      </c>
    </row>
    <row r="604" spans="1:10" x14ac:dyDescent="0.2">
      <c r="A604">
        <v>603</v>
      </c>
      <c r="B604" s="2" t="s">
        <v>14</v>
      </c>
      <c r="C604" s="2" t="s">
        <v>14</v>
      </c>
      <c r="D604">
        <v>340</v>
      </c>
      <c r="E604">
        <v>4</v>
      </c>
      <c r="F604">
        <v>2007</v>
      </c>
      <c r="G604">
        <v>1</v>
      </c>
      <c r="H604">
        <v>13</v>
      </c>
      <c r="I604">
        <v>2010</v>
      </c>
      <c r="J604" s="2" t="s">
        <v>16</v>
      </c>
    </row>
    <row r="605" spans="1:10" x14ac:dyDescent="0.2">
      <c r="A605">
        <v>604</v>
      </c>
      <c r="B605" s="2" t="s">
        <v>17</v>
      </c>
      <c r="C605" s="2" t="s">
        <v>14</v>
      </c>
      <c r="D605">
        <v>10950</v>
      </c>
      <c r="E605">
        <v>3</v>
      </c>
      <c r="F605">
        <v>2014</v>
      </c>
      <c r="G605">
        <v>0</v>
      </c>
      <c r="H605">
        <v>0</v>
      </c>
      <c r="I605">
        <v>0</v>
      </c>
      <c r="J605" s="2" t="s">
        <v>15</v>
      </c>
    </row>
    <row r="606" spans="1:10" x14ac:dyDescent="0.2">
      <c r="A606">
        <v>605</v>
      </c>
      <c r="B606" s="2" t="s">
        <v>17</v>
      </c>
      <c r="C606" s="2" t="s">
        <v>14</v>
      </c>
      <c r="D606">
        <v>10310</v>
      </c>
      <c r="E606">
        <v>4</v>
      </c>
      <c r="F606">
        <v>2003</v>
      </c>
      <c r="G606">
        <v>1</v>
      </c>
      <c r="H606">
        <v>37</v>
      </c>
      <c r="I606">
        <v>2009</v>
      </c>
      <c r="J606" s="2" t="s">
        <v>16</v>
      </c>
    </row>
    <row r="607" spans="1:10" x14ac:dyDescent="0.2">
      <c r="A607">
        <v>606</v>
      </c>
      <c r="B607" s="2" t="s">
        <v>14</v>
      </c>
      <c r="C607" s="2" t="s">
        <v>14</v>
      </c>
      <c r="D607">
        <v>2260</v>
      </c>
      <c r="E607">
        <v>11</v>
      </c>
      <c r="F607">
        <v>2007</v>
      </c>
      <c r="G607">
        <v>0</v>
      </c>
      <c r="H607">
        <v>0</v>
      </c>
      <c r="I607">
        <v>0</v>
      </c>
      <c r="J607" s="2" t="s">
        <v>15</v>
      </c>
    </row>
    <row r="608" spans="1:10" x14ac:dyDescent="0.2">
      <c r="A608">
        <v>607</v>
      </c>
      <c r="B608" s="2" t="s">
        <v>14</v>
      </c>
      <c r="C608" s="2" t="s">
        <v>14</v>
      </c>
      <c r="D608">
        <v>350</v>
      </c>
      <c r="E608">
        <v>8</v>
      </c>
      <c r="F608">
        <v>1999</v>
      </c>
      <c r="G608">
        <v>1</v>
      </c>
      <c r="H608">
        <v>14</v>
      </c>
      <c r="I608">
        <v>2011</v>
      </c>
      <c r="J608" s="2" t="s">
        <v>16</v>
      </c>
    </row>
    <row r="609" spans="1:10" x14ac:dyDescent="0.2">
      <c r="A609">
        <v>608</v>
      </c>
      <c r="B609" s="2" t="s">
        <v>14</v>
      </c>
      <c r="C609" s="2" t="s">
        <v>13</v>
      </c>
      <c r="D609">
        <v>18370</v>
      </c>
      <c r="E609">
        <v>2</v>
      </c>
      <c r="F609">
        <v>2013</v>
      </c>
      <c r="G609">
        <v>1</v>
      </c>
      <c r="H609">
        <v>14</v>
      </c>
      <c r="I609">
        <v>2011</v>
      </c>
      <c r="J609" s="2" t="s">
        <v>16</v>
      </c>
    </row>
    <row r="610" spans="1:10" x14ac:dyDescent="0.2">
      <c r="A610">
        <v>609</v>
      </c>
      <c r="B610" s="2" t="s">
        <v>14</v>
      </c>
      <c r="C610" s="2" t="s">
        <v>14</v>
      </c>
      <c r="D610">
        <v>2070</v>
      </c>
      <c r="E610">
        <v>9</v>
      </c>
      <c r="F610">
        <v>2007</v>
      </c>
      <c r="G610">
        <v>0</v>
      </c>
      <c r="H610">
        <v>0</v>
      </c>
      <c r="I610">
        <v>0</v>
      </c>
      <c r="J610" s="2" t="s">
        <v>15</v>
      </c>
    </row>
    <row r="611" spans="1:10" x14ac:dyDescent="0.2">
      <c r="A611">
        <v>610</v>
      </c>
      <c r="B611" s="2" t="s">
        <v>14</v>
      </c>
      <c r="C611" s="2" t="s">
        <v>14</v>
      </c>
      <c r="D611">
        <v>660</v>
      </c>
      <c r="E611">
        <v>1</v>
      </c>
      <c r="F611">
        <v>2007</v>
      </c>
      <c r="G611">
        <v>0</v>
      </c>
      <c r="H611">
        <v>0</v>
      </c>
      <c r="I611">
        <v>0</v>
      </c>
      <c r="J611" s="2" t="s">
        <v>15</v>
      </c>
    </row>
    <row r="612" spans="1:10" x14ac:dyDescent="0.2">
      <c r="A612">
        <v>611</v>
      </c>
      <c r="B612" s="2" t="s">
        <v>14</v>
      </c>
      <c r="C612" s="2" t="s">
        <v>14</v>
      </c>
      <c r="D612">
        <v>8080</v>
      </c>
      <c r="E612">
        <v>12</v>
      </c>
      <c r="F612">
        <v>2002</v>
      </c>
      <c r="G612">
        <v>1</v>
      </c>
      <c r="H612">
        <v>40</v>
      </c>
      <c r="I612">
        <v>2014</v>
      </c>
      <c r="J612" s="2" t="s">
        <v>16</v>
      </c>
    </row>
    <row r="613" spans="1:10" x14ac:dyDescent="0.2">
      <c r="A613">
        <v>612</v>
      </c>
      <c r="B613" s="2" t="s">
        <v>17</v>
      </c>
      <c r="C613" s="2" t="s">
        <v>13</v>
      </c>
      <c r="D613">
        <v>2490</v>
      </c>
      <c r="E613">
        <v>11</v>
      </c>
      <c r="F613">
        <v>2012</v>
      </c>
      <c r="G613">
        <v>1</v>
      </c>
      <c r="H613">
        <v>31</v>
      </c>
      <c r="I613">
        <v>2009</v>
      </c>
      <c r="J613" s="2" t="s">
        <v>16</v>
      </c>
    </row>
    <row r="614" spans="1:10" x14ac:dyDescent="0.2">
      <c r="A614">
        <v>613</v>
      </c>
      <c r="B614" s="2" t="s">
        <v>13</v>
      </c>
      <c r="C614" s="2" t="s">
        <v>14</v>
      </c>
      <c r="D614">
        <v>250</v>
      </c>
      <c r="E614">
        <v>6</v>
      </c>
      <c r="F614">
        <v>2007</v>
      </c>
      <c r="G614">
        <v>1</v>
      </c>
      <c r="H614">
        <v>14</v>
      </c>
      <c r="I614">
        <v>2011</v>
      </c>
      <c r="J614" s="2" t="s">
        <v>16</v>
      </c>
    </row>
    <row r="615" spans="1:10" x14ac:dyDescent="0.2">
      <c r="A615">
        <v>614</v>
      </c>
      <c r="B615" s="2" t="s">
        <v>14</v>
      </c>
      <c r="C615" s="2" t="s">
        <v>14</v>
      </c>
      <c r="D615">
        <v>1160</v>
      </c>
      <c r="E615">
        <v>12</v>
      </c>
      <c r="F615">
        <v>2012</v>
      </c>
      <c r="G615">
        <v>0</v>
      </c>
      <c r="H615">
        <v>0</v>
      </c>
      <c r="I615">
        <v>0</v>
      </c>
      <c r="J615" s="2" t="s">
        <v>15</v>
      </c>
    </row>
    <row r="616" spans="1:10" x14ac:dyDescent="0.2">
      <c r="A616">
        <v>615</v>
      </c>
      <c r="B616" s="2" t="s">
        <v>17</v>
      </c>
      <c r="C616" s="2" t="s">
        <v>14</v>
      </c>
      <c r="D616">
        <v>730</v>
      </c>
      <c r="E616">
        <v>8</v>
      </c>
      <c r="F616">
        <v>2007</v>
      </c>
      <c r="G616">
        <v>0</v>
      </c>
      <c r="H616">
        <v>0</v>
      </c>
      <c r="I616">
        <v>0</v>
      </c>
      <c r="J616" s="2" t="s">
        <v>15</v>
      </c>
    </row>
    <row r="617" spans="1:10" x14ac:dyDescent="0.2">
      <c r="A617">
        <v>616</v>
      </c>
      <c r="B617" s="2" t="s">
        <v>14</v>
      </c>
      <c r="C617" s="2" t="s">
        <v>13</v>
      </c>
      <c r="D617">
        <v>3040</v>
      </c>
      <c r="E617">
        <v>8</v>
      </c>
      <c r="F617">
        <v>2011</v>
      </c>
      <c r="G617">
        <v>1</v>
      </c>
      <c r="H617">
        <v>35</v>
      </c>
      <c r="I617">
        <v>2010</v>
      </c>
      <c r="J617" s="2" t="s">
        <v>19</v>
      </c>
    </row>
    <row r="618" spans="1:10" x14ac:dyDescent="0.2">
      <c r="A618">
        <v>617</v>
      </c>
      <c r="B618" s="2" t="s">
        <v>14</v>
      </c>
      <c r="C618" s="2" t="s">
        <v>13</v>
      </c>
      <c r="D618">
        <v>8940</v>
      </c>
      <c r="G618">
        <v>1</v>
      </c>
      <c r="H618">
        <v>9</v>
      </c>
      <c r="I618">
        <v>2011</v>
      </c>
      <c r="J618" s="2" t="s">
        <v>16</v>
      </c>
    </row>
    <row r="619" spans="1:10" x14ac:dyDescent="0.2">
      <c r="A619">
        <v>618</v>
      </c>
      <c r="B619" s="2" t="s">
        <v>17</v>
      </c>
      <c r="C619" s="2" t="s">
        <v>13</v>
      </c>
      <c r="D619">
        <v>9910</v>
      </c>
      <c r="G619">
        <v>0</v>
      </c>
      <c r="H619">
        <v>0</v>
      </c>
      <c r="I619">
        <v>0</v>
      </c>
      <c r="J619" s="2" t="s">
        <v>15</v>
      </c>
    </row>
    <row r="620" spans="1:10" x14ac:dyDescent="0.2">
      <c r="A620">
        <v>619</v>
      </c>
      <c r="B620" s="2" t="s">
        <v>14</v>
      </c>
      <c r="C620" s="2" t="s">
        <v>14</v>
      </c>
      <c r="D620">
        <v>1600</v>
      </c>
      <c r="E620">
        <v>6</v>
      </c>
      <c r="F620">
        <v>2006</v>
      </c>
      <c r="G620">
        <v>1</v>
      </c>
      <c r="H620">
        <v>45</v>
      </c>
      <c r="I620">
        <v>2009</v>
      </c>
      <c r="J620" s="2" t="s">
        <v>18</v>
      </c>
    </row>
    <row r="621" spans="1:10" x14ac:dyDescent="0.2">
      <c r="A621">
        <v>620</v>
      </c>
      <c r="B621" s="2" t="s">
        <v>17</v>
      </c>
      <c r="C621" s="2" t="s">
        <v>13</v>
      </c>
      <c r="D621">
        <v>5440</v>
      </c>
      <c r="G621">
        <v>1</v>
      </c>
      <c r="H621">
        <v>40</v>
      </c>
      <c r="I621">
        <v>2014</v>
      </c>
      <c r="J621" s="2" t="s">
        <v>16</v>
      </c>
    </row>
    <row r="622" spans="1:10" x14ac:dyDescent="0.2">
      <c r="A622">
        <v>621</v>
      </c>
      <c r="B622" s="2" t="s">
        <v>14</v>
      </c>
      <c r="C622" s="2" t="s">
        <v>14</v>
      </c>
      <c r="D622">
        <v>30</v>
      </c>
      <c r="E622">
        <v>7</v>
      </c>
      <c r="F622">
        <v>2002</v>
      </c>
      <c r="G622">
        <v>0</v>
      </c>
      <c r="H622">
        <v>0</v>
      </c>
      <c r="I622">
        <v>0</v>
      </c>
      <c r="J622" s="2" t="s">
        <v>15</v>
      </c>
    </row>
    <row r="623" spans="1:10" x14ac:dyDescent="0.2">
      <c r="A623">
        <v>622</v>
      </c>
      <c r="B623" s="2" t="s">
        <v>14</v>
      </c>
      <c r="C623" s="2" t="s">
        <v>13</v>
      </c>
      <c r="G623">
        <v>0</v>
      </c>
      <c r="H623">
        <v>0</v>
      </c>
      <c r="I623">
        <v>0</v>
      </c>
      <c r="J623" s="2" t="s">
        <v>15</v>
      </c>
    </row>
    <row r="624" spans="1:10" x14ac:dyDescent="0.2">
      <c r="A624">
        <v>623</v>
      </c>
      <c r="B624" s="2" t="s">
        <v>14</v>
      </c>
      <c r="C624" s="2" t="s">
        <v>14</v>
      </c>
      <c r="D624">
        <v>4080</v>
      </c>
      <c r="E624">
        <v>3</v>
      </c>
      <c r="F624">
        <v>2011</v>
      </c>
      <c r="G624">
        <v>1</v>
      </c>
      <c r="H624">
        <v>13</v>
      </c>
      <c r="I624">
        <v>2010</v>
      </c>
      <c r="J624" s="2" t="s">
        <v>16</v>
      </c>
    </row>
    <row r="625" spans="1:10" x14ac:dyDescent="0.2">
      <c r="A625">
        <v>624</v>
      </c>
      <c r="B625" s="2" t="s">
        <v>14</v>
      </c>
      <c r="C625" s="2" t="s">
        <v>13</v>
      </c>
      <c r="D625">
        <v>6920</v>
      </c>
      <c r="E625">
        <v>9</v>
      </c>
      <c r="F625">
        <v>2011</v>
      </c>
      <c r="G625">
        <v>0</v>
      </c>
      <c r="H625">
        <v>0</v>
      </c>
      <c r="I625">
        <v>0</v>
      </c>
      <c r="J625" s="2" t="s">
        <v>15</v>
      </c>
    </row>
    <row r="626" spans="1:10" x14ac:dyDescent="0.2">
      <c r="A626">
        <v>625</v>
      </c>
      <c r="B626" s="2" t="s">
        <v>14</v>
      </c>
      <c r="C626" s="2" t="s">
        <v>14</v>
      </c>
      <c r="D626">
        <v>1170</v>
      </c>
      <c r="E626">
        <v>4</v>
      </c>
      <c r="F626">
        <v>2011</v>
      </c>
      <c r="G626">
        <v>1</v>
      </c>
      <c r="H626">
        <v>22</v>
      </c>
      <c r="I626">
        <v>2012</v>
      </c>
      <c r="J626" s="2" t="s">
        <v>18</v>
      </c>
    </row>
    <row r="627" spans="1:10" x14ac:dyDescent="0.2">
      <c r="A627">
        <v>626</v>
      </c>
      <c r="B627" s="2" t="s">
        <v>13</v>
      </c>
      <c r="C627" s="2" t="s">
        <v>13</v>
      </c>
      <c r="D627">
        <v>10740</v>
      </c>
      <c r="E627">
        <v>11</v>
      </c>
      <c r="F627">
        <v>2013</v>
      </c>
      <c r="G627">
        <v>0</v>
      </c>
      <c r="H627">
        <v>0</v>
      </c>
      <c r="I627">
        <v>0</v>
      </c>
      <c r="J627" s="2" t="s">
        <v>15</v>
      </c>
    </row>
    <row r="628" spans="1:10" x14ac:dyDescent="0.2">
      <c r="A628">
        <v>627</v>
      </c>
      <c r="B628" s="2" t="s">
        <v>13</v>
      </c>
      <c r="C628" s="2" t="s">
        <v>13</v>
      </c>
      <c r="D628">
        <v>3970</v>
      </c>
      <c r="E628">
        <v>3</v>
      </c>
      <c r="F628">
        <v>2010</v>
      </c>
      <c r="G628">
        <v>0</v>
      </c>
      <c r="H628">
        <v>0</v>
      </c>
      <c r="I628">
        <v>0</v>
      </c>
      <c r="J628" s="2" t="s">
        <v>15</v>
      </c>
    </row>
    <row r="629" spans="1:10" x14ac:dyDescent="0.2">
      <c r="A629">
        <v>628</v>
      </c>
      <c r="B629" s="2" t="s">
        <v>14</v>
      </c>
      <c r="C629" s="2" t="s">
        <v>13</v>
      </c>
      <c r="D629">
        <v>2180</v>
      </c>
      <c r="G629">
        <v>0</v>
      </c>
      <c r="H629">
        <v>0</v>
      </c>
      <c r="I629">
        <v>0</v>
      </c>
      <c r="J629" s="2" t="s">
        <v>15</v>
      </c>
    </row>
    <row r="630" spans="1:10" x14ac:dyDescent="0.2">
      <c r="A630">
        <v>629</v>
      </c>
      <c r="B630" s="2" t="s">
        <v>17</v>
      </c>
      <c r="C630" s="2" t="s">
        <v>14</v>
      </c>
      <c r="D630">
        <v>510</v>
      </c>
      <c r="E630">
        <v>7</v>
      </c>
      <c r="F630">
        <v>2014</v>
      </c>
      <c r="G630">
        <v>1</v>
      </c>
      <c r="H630">
        <v>23</v>
      </c>
      <c r="I630">
        <v>2015</v>
      </c>
      <c r="J630" s="2" t="s">
        <v>19</v>
      </c>
    </row>
    <row r="631" spans="1:10" x14ac:dyDescent="0.2">
      <c r="A631">
        <v>630</v>
      </c>
      <c r="B631" s="2" t="s">
        <v>14</v>
      </c>
      <c r="C631" s="2" t="s">
        <v>14</v>
      </c>
      <c r="D631">
        <v>1690</v>
      </c>
      <c r="E631">
        <v>4</v>
      </c>
      <c r="F631">
        <v>2015</v>
      </c>
      <c r="G631">
        <v>0</v>
      </c>
      <c r="H631">
        <v>0</v>
      </c>
      <c r="I631">
        <v>0</v>
      </c>
      <c r="J631" s="2" t="s">
        <v>15</v>
      </c>
    </row>
    <row r="632" spans="1:10" x14ac:dyDescent="0.2">
      <c r="A632">
        <v>631</v>
      </c>
      <c r="B632" s="2" t="s">
        <v>17</v>
      </c>
      <c r="C632" s="2" t="s">
        <v>13</v>
      </c>
      <c r="D632">
        <v>2870</v>
      </c>
      <c r="G632">
        <v>1</v>
      </c>
      <c r="H632">
        <v>35</v>
      </c>
      <c r="I632">
        <v>2012</v>
      </c>
      <c r="J632" s="2" t="s">
        <v>19</v>
      </c>
    </row>
    <row r="633" spans="1:10" x14ac:dyDescent="0.2">
      <c r="A633">
        <v>632</v>
      </c>
      <c r="B633" s="2" t="s">
        <v>14</v>
      </c>
      <c r="C633" s="2" t="s">
        <v>14</v>
      </c>
      <c r="D633">
        <v>3350</v>
      </c>
      <c r="E633">
        <v>2</v>
      </c>
      <c r="F633">
        <v>2010</v>
      </c>
      <c r="G633">
        <v>0</v>
      </c>
      <c r="H633">
        <v>0</v>
      </c>
      <c r="I633">
        <v>0</v>
      </c>
      <c r="J633" s="2" t="s">
        <v>15</v>
      </c>
    </row>
    <row r="634" spans="1:10" x14ac:dyDescent="0.2">
      <c r="A634">
        <v>633</v>
      </c>
      <c r="B634" s="2" t="s">
        <v>17</v>
      </c>
      <c r="C634" s="2" t="s">
        <v>14</v>
      </c>
      <c r="D634">
        <v>11640</v>
      </c>
      <c r="E634">
        <v>4</v>
      </c>
      <c r="F634">
        <v>2005</v>
      </c>
      <c r="G634">
        <v>1</v>
      </c>
      <c r="H634">
        <v>22</v>
      </c>
      <c r="I634">
        <v>2011</v>
      </c>
      <c r="J634" s="2" t="s">
        <v>16</v>
      </c>
    </row>
    <row r="635" spans="1:10" x14ac:dyDescent="0.2">
      <c r="A635">
        <v>634</v>
      </c>
      <c r="B635" s="2" t="s">
        <v>17</v>
      </c>
      <c r="C635" s="2" t="s">
        <v>14</v>
      </c>
      <c r="D635">
        <v>18610</v>
      </c>
      <c r="G635">
        <v>0</v>
      </c>
      <c r="H635">
        <v>0</v>
      </c>
      <c r="I635">
        <v>0</v>
      </c>
      <c r="J635" s="2" t="s">
        <v>15</v>
      </c>
    </row>
    <row r="636" spans="1:10" x14ac:dyDescent="0.2">
      <c r="A636">
        <v>635</v>
      </c>
      <c r="B636" s="2" t="s">
        <v>14</v>
      </c>
      <c r="C636" s="2" t="s">
        <v>14</v>
      </c>
      <c r="D636">
        <v>27530</v>
      </c>
      <c r="E636">
        <v>4</v>
      </c>
      <c r="F636">
        <v>2014</v>
      </c>
      <c r="G636">
        <v>0</v>
      </c>
      <c r="H636">
        <v>0</v>
      </c>
      <c r="I636">
        <v>0</v>
      </c>
      <c r="J636" s="2" t="s">
        <v>15</v>
      </c>
    </row>
    <row r="637" spans="1:10" x14ac:dyDescent="0.2">
      <c r="A637">
        <v>636</v>
      </c>
      <c r="B637" s="2" t="s">
        <v>13</v>
      </c>
      <c r="C637" s="2" t="s">
        <v>14</v>
      </c>
      <c r="D637">
        <v>720</v>
      </c>
      <c r="E637">
        <v>10</v>
      </c>
      <c r="F637">
        <v>2004</v>
      </c>
      <c r="G637">
        <v>1</v>
      </c>
      <c r="H637">
        <v>13</v>
      </c>
      <c r="I637">
        <v>2010</v>
      </c>
      <c r="J637" s="2" t="s">
        <v>16</v>
      </c>
    </row>
    <row r="638" spans="1:10" x14ac:dyDescent="0.2">
      <c r="A638">
        <v>637</v>
      </c>
      <c r="B638" s="2" t="s">
        <v>17</v>
      </c>
      <c r="C638" s="2" t="s">
        <v>13</v>
      </c>
      <c r="D638">
        <v>9790</v>
      </c>
      <c r="G638">
        <v>1</v>
      </c>
      <c r="H638">
        <v>31</v>
      </c>
      <c r="I638">
        <v>2009</v>
      </c>
      <c r="J638" s="2" t="s">
        <v>18</v>
      </c>
    </row>
    <row r="639" spans="1:10" x14ac:dyDescent="0.2">
      <c r="A639">
        <v>638</v>
      </c>
      <c r="B639" s="2" t="s">
        <v>17</v>
      </c>
      <c r="C639" s="2" t="s">
        <v>14</v>
      </c>
      <c r="D639">
        <v>10170</v>
      </c>
      <c r="E639">
        <v>11</v>
      </c>
      <c r="F639">
        <v>2001</v>
      </c>
      <c r="G639">
        <v>0</v>
      </c>
      <c r="H639">
        <v>0</v>
      </c>
      <c r="I639">
        <v>0</v>
      </c>
      <c r="J639" s="2" t="s">
        <v>15</v>
      </c>
    </row>
    <row r="640" spans="1:10" x14ac:dyDescent="0.2">
      <c r="A640">
        <v>639</v>
      </c>
      <c r="B640" s="2" t="s">
        <v>14</v>
      </c>
      <c r="C640" s="2" t="s">
        <v>14</v>
      </c>
      <c r="D640">
        <v>7780</v>
      </c>
      <c r="E640">
        <v>11</v>
      </c>
      <c r="F640">
        <v>2006</v>
      </c>
      <c r="G640">
        <v>0</v>
      </c>
      <c r="H640">
        <v>0</v>
      </c>
      <c r="I640">
        <v>0</v>
      </c>
      <c r="J640" s="2" t="s">
        <v>15</v>
      </c>
    </row>
    <row r="641" spans="1:10" x14ac:dyDescent="0.2">
      <c r="A641">
        <v>640</v>
      </c>
      <c r="B641" s="2" t="s">
        <v>17</v>
      </c>
      <c r="C641" s="2" t="s">
        <v>13</v>
      </c>
      <c r="D641">
        <v>8040</v>
      </c>
      <c r="G641">
        <v>0</v>
      </c>
      <c r="H641">
        <v>0</v>
      </c>
      <c r="I641">
        <v>0</v>
      </c>
      <c r="J641" s="2" t="s">
        <v>15</v>
      </c>
    </row>
    <row r="642" spans="1:10" x14ac:dyDescent="0.2">
      <c r="A642">
        <v>641</v>
      </c>
      <c r="B642" s="2" t="s">
        <v>14</v>
      </c>
      <c r="C642" s="2" t="s">
        <v>13</v>
      </c>
      <c r="D642">
        <v>610</v>
      </c>
      <c r="E642">
        <v>12</v>
      </c>
      <c r="F642">
        <v>2003</v>
      </c>
      <c r="G642">
        <v>1</v>
      </c>
      <c r="H642">
        <v>36</v>
      </c>
      <c r="I642">
        <v>2013</v>
      </c>
      <c r="J642" s="2" t="s">
        <v>19</v>
      </c>
    </row>
    <row r="643" spans="1:10" x14ac:dyDescent="0.2">
      <c r="A643">
        <v>642</v>
      </c>
      <c r="B643" s="2" t="s">
        <v>13</v>
      </c>
      <c r="C643" s="2" t="s">
        <v>13</v>
      </c>
      <c r="D643">
        <v>530</v>
      </c>
      <c r="E643">
        <v>4</v>
      </c>
      <c r="F643">
        <v>2005</v>
      </c>
      <c r="G643">
        <v>1</v>
      </c>
      <c r="H643">
        <v>35</v>
      </c>
      <c r="I643">
        <v>2010</v>
      </c>
      <c r="J643" s="2" t="s">
        <v>19</v>
      </c>
    </row>
    <row r="644" spans="1:10" x14ac:dyDescent="0.2">
      <c r="A644">
        <v>643</v>
      </c>
      <c r="B644" s="2" t="s">
        <v>14</v>
      </c>
      <c r="C644" s="2" t="s">
        <v>14</v>
      </c>
      <c r="D644">
        <v>230</v>
      </c>
      <c r="E644">
        <v>6</v>
      </c>
      <c r="F644">
        <v>2010</v>
      </c>
      <c r="G644">
        <v>1</v>
      </c>
      <c r="H644">
        <v>18</v>
      </c>
      <c r="I644">
        <v>2010</v>
      </c>
      <c r="J644" s="2" t="s">
        <v>18</v>
      </c>
    </row>
    <row r="645" spans="1:10" x14ac:dyDescent="0.2">
      <c r="A645">
        <v>644</v>
      </c>
      <c r="B645" s="2" t="s">
        <v>13</v>
      </c>
      <c r="C645" s="2" t="s">
        <v>14</v>
      </c>
      <c r="D645">
        <v>4030</v>
      </c>
      <c r="E645">
        <v>12</v>
      </c>
      <c r="F645">
        <v>2004</v>
      </c>
      <c r="G645">
        <v>1</v>
      </c>
      <c r="H645">
        <v>14</v>
      </c>
      <c r="I645">
        <v>2011</v>
      </c>
      <c r="J645" s="2" t="s">
        <v>16</v>
      </c>
    </row>
    <row r="646" spans="1:10" x14ac:dyDescent="0.2">
      <c r="A646">
        <v>645</v>
      </c>
      <c r="B646" s="2" t="s">
        <v>14</v>
      </c>
      <c r="C646" s="2" t="s">
        <v>14</v>
      </c>
      <c r="D646">
        <v>90</v>
      </c>
      <c r="G646">
        <v>1</v>
      </c>
      <c r="H646">
        <v>45</v>
      </c>
      <c r="I646">
        <v>2009</v>
      </c>
      <c r="J646" s="2" t="s">
        <v>18</v>
      </c>
    </row>
    <row r="647" spans="1:10" x14ac:dyDescent="0.2">
      <c r="A647">
        <v>646</v>
      </c>
      <c r="B647" s="2" t="s">
        <v>14</v>
      </c>
      <c r="C647" s="2" t="s">
        <v>14</v>
      </c>
      <c r="D647">
        <v>620</v>
      </c>
      <c r="E647">
        <v>9</v>
      </c>
      <c r="F647">
        <v>2014</v>
      </c>
      <c r="G647">
        <v>0</v>
      </c>
      <c r="H647">
        <v>0</v>
      </c>
      <c r="I647">
        <v>0</v>
      </c>
      <c r="J647" s="2" t="s">
        <v>15</v>
      </c>
    </row>
    <row r="648" spans="1:10" x14ac:dyDescent="0.2">
      <c r="A648">
        <v>647</v>
      </c>
      <c r="B648" s="2" t="s">
        <v>14</v>
      </c>
      <c r="C648" s="2" t="s">
        <v>13</v>
      </c>
      <c r="D648">
        <v>7420</v>
      </c>
      <c r="E648">
        <v>4</v>
      </c>
      <c r="F648">
        <v>2013</v>
      </c>
      <c r="G648">
        <v>0</v>
      </c>
      <c r="H648">
        <v>0</v>
      </c>
      <c r="I648">
        <v>0</v>
      </c>
      <c r="J648" s="2" t="s">
        <v>15</v>
      </c>
    </row>
    <row r="649" spans="1:10" x14ac:dyDescent="0.2">
      <c r="A649">
        <v>648</v>
      </c>
      <c r="B649" s="2" t="s">
        <v>17</v>
      </c>
      <c r="C649" s="2" t="s">
        <v>14</v>
      </c>
      <c r="D649">
        <v>2130</v>
      </c>
      <c r="E649">
        <v>12</v>
      </c>
      <c r="F649">
        <v>2008</v>
      </c>
      <c r="G649">
        <v>0</v>
      </c>
      <c r="H649">
        <v>0</v>
      </c>
      <c r="I649">
        <v>0</v>
      </c>
      <c r="J649" s="2" t="s">
        <v>15</v>
      </c>
    </row>
    <row r="650" spans="1:10" x14ac:dyDescent="0.2">
      <c r="A650">
        <v>649</v>
      </c>
      <c r="B650" s="2" t="s">
        <v>14</v>
      </c>
      <c r="C650" s="2" t="s">
        <v>14</v>
      </c>
      <c r="D650">
        <v>14570</v>
      </c>
      <c r="E650">
        <v>11</v>
      </c>
      <c r="F650">
        <v>2002</v>
      </c>
      <c r="G650">
        <v>0</v>
      </c>
      <c r="H650">
        <v>0</v>
      </c>
      <c r="I650">
        <v>0</v>
      </c>
      <c r="J650" s="2" t="s">
        <v>15</v>
      </c>
    </row>
    <row r="651" spans="1:10" x14ac:dyDescent="0.2">
      <c r="A651">
        <v>650</v>
      </c>
      <c r="B651" s="2" t="s">
        <v>14</v>
      </c>
      <c r="C651" s="2" t="s">
        <v>14</v>
      </c>
      <c r="D651">
        <v>1420</v>
      </c>
      <c r="E651">
        <v>10</v>
      </c>
      <c r="F651">
        <v>2012</v>
      </c>
      <c r="G651">
        <v>1</v>
      </c>
      <c r="H651">
        <v>40</v>
      </c>
      <c r="I651">
        <v>2014</v>
      </c>
      <c r="J651" s="2" t="s">
        <v>16</v>
      </c>
    </row>
    <row r="652" spans="1:10" x14ac:dyDescent="0.2">
      <c r="A652">
        <v>651</v>
      </c>
      <c r="B652" s="2" t="s">
        <v>14</v>
      </c>
      <c r="C652" s="2" t="s">
        <v>14</v>
      </c>
      <c r="D652">
        <v>200</v>
      </c>
      <c r="G652">
        <v>0</v>
      </c>
      <c r="H652">
        <v>0</v>
      </c>
      <c r="I652">
        <v>0</v>
      </c>
      <c r="J652" s="2" t="s">
        <v>15</v>
      </c>
    </row>
    <row r="653" spans="1:10" x14ac:dyDescent="0.2">
      <c r="A653">
        <v>652</v>
      </c>
      <c r="B653" s="2" t="s">
        <v>14</v>
      </c>
      <c r="C653" s="2" t="s">
        <v>14</v>
      </c>
      <c r="D653">
        <v>20390</v>
      </c>
      <c r="G653">
        <v>0</v>
      </c>
      <c r="H653">
        <v>0</v>
      </c>
      <c r="I653">
        <v>0</v>
      </c>
      <c r="J653" s="2" t="s">
        <v>15</v>
      </c>
    </row>
    <row r="654" spans="1:10" x14ac:dyDescent="0.2">
      <c r="A654">
        <v>653</v>
      </c>
      <c r="B654" s="2" t="s">
        <v>17</v>
      </c>
      <c r="C654" s="2" t="s">
        <v>13</v>
      </c>
      <c r="D654">
        <v>7520</v>
      </c>
      <c r="E654">
        <v>7</v>
      </c>
      <c r="F654">
        <v>2014</v>
      </c>
      <c r="G654">
        <v>1</v>
      </c>
      <c r="H654">
        <v>45</v>
      </c>
      <c r="I654">
        <v>2009</v>
      </c>
      <c r="J654" s="2" t="s">
        <v>18</v>
      </c>
    </row>
    <row r="655" spans="1:10" x14ac:dyDescent="0.2">
      <c r="A655">
        <v>654</v>
      </c>
      <c r="B655" s="2" t="s">
        <v>13</v>
      </c>
      <c r="C655" s="2" t="s">
        <v>14</v>
      </c>
      <c r="D655">
        <v>6930</v>
      </c>
      <c r="E655">
        <v>9</v>
      </c>
      <c r="F655">
        <v>2006</v>
      </c>
      <c r="G655">
        <v>0</v>
      </c>
      <c r="H655">
        <v>0</v>
      </c>
      <c r="I655">
        <v>0</v>
      </c>
      <c r="J655" s="2" t="s">
        <v>15</v>
      </c>
    </row>
    <row r="656" spans="1:10" x14ac:dyDescent="0.2">
      <c r="A656">
        <v>655</v>
      </c>
      <c r="B656" s="2" t="s">
        <v>17</v>
      </c>
      <c r="C656" s="2" t="s">
        <v>13</v>
      </c>
      <c r="D656">
        <v>960</v>
      </c>
      <c r="E656">
        <v>11</v>
      </c>
      <c r="F656">
        <v>2012</v>
      </c>
      <c r="G656">
        <v>1</v>
      </c>
      <c r="H656">
        <v>5</v>
      </c>
      <c r="I656">
        <v>2013</v>
      </c>
      <c r="J656" s="2" t="s">
        <v>18</v>
      </c>
    </row>
    <row r="657" spans="1:10" x14ac:dyDescent="0.2">
      <c r="A657">
        <v>656</v>
      </c>
      <c r="B657" s="2" t="s">
        <v>17</v>
      </c>
      <c r="C657" s="2" t="s">
        <v>14</v>
      </c>
      <c r="D657">
        <v>410</v>
      </c>
      <c r="E657">
        <v>4</v>
      </c>
      <c r="F657">
        <v>2009</v>
      </c>
      <c r="G657">
        <v>1</v>
      </c>
      <c r="H657">
        <v>13</v>
      </c>
      <c r="I657">
        <v>2010</v>
      </c>
      <c r="J657" s="2" t="s">
        <v>16</v>
      </c>
    </row>
    <row r="658" spans="1:10" x14ac:dyDescent="0.2">
      <c r="A658">
        <v>657</v>
      </c>
      <c r="B658" s="2" t="s">
        <v>13</v>
      </c>
      <c r="C658" s="2" t="s">
        <v>13</v>
      </c>
      <c r="D658">
        <v>80</v>
      </c>
      <c r="E658">
        <v>1</v>
      </c>
      <c r="F658">
        <v>2006</v>
      </c>
      <c r="G658">
        <v>1</v>
      </c>
      <c r="H658">
        <v>10</v>
      </c>
      <c r="I658">
        <v>2014</v>
      </c>
      <c r="J658" s="2" t="s">
        <v>16</v>
      </c>
    </row>
    <row r="659" spans="1:10" x14ac:dyDescent="0.2">
      <c r="A659">
        <v>658</v>
      </c>
      <c r="B659" s="2" t="s">
        <v>17</v>
      </c>
      <c r="C659" s="2" t="s">
        <v>13</v>
      </c>
      <c r="D659">
        <v>520</v>
      </c>
      <c r="G659">
        <v>1</v>
      </c>
      <c r="H659">
        <v>37</v>
      </c>
      <c r="I659">
        <v>2009</v>
      </c>
      <c r="J659" s="2" t="s">
        <v>16</v>
      </c>
    </row>
    <row r="660" spans="1:10" x14ac:dyDescent="0.2">
      <c r="A660">
        <v>659</v>
      </c>
      <c r="B660" s="2" t="s">
        <v>17</v>
      </c>
      <c r="C660" s="2" t="s">
        <v>14</v>
      </c>
      <c r="D660">
        <v>1590</v>
      </c>
      <c r="E660">
        <v>3</v>
      </c>
      <c r="F660">
        <v>2012</v>
      </c>
      <c r="G660">
        <v>0</v>
      </c>
      <c r="H660">
        <v>0</v>
      </c>
      <c r="I660">
        <v>0</v>
      </c>
      <c r="J660" s="2" t="s">
        <v>15</v>
      </c>
    </row>
    <row r="661" spans="1:10" x14ac:dyDescent="0.2">
      <c r="A661">
        <v>660</v>
      </c>
      <c r="B661" s="2" t="s">
        <v>14</v>
      </c>
      <c r="C661" s="2" t="s">
        <v>14</v>
      </c>
      <c r="D661">
        <v>1200</v>
      </c>
      <c r="E661">
        <v>11</v>
      </c>
      <c r="F661">
        <v>2006</v>
      </c>
      <c r="G661">
        <v>1</v>
      </c>
      <c r="H661">
        <v>40</v>
      </c>
      <c r="I661">
        <v>2014</v>
      </c>
      <c r="J661" s="2" t="s">
        <v>16</v>
      </c>
    </row>
    <row r="662" spans="1:10" x14ac:dyDescent="0.2">
      <c r="A662">
        <v>661</v>
      </c>
      <c r="B662" s="2" t="s">
        <v>17</v>
      </c>
      <c r="C662" s="2" t="s">
        <v>13</v>
      </c>
      <c r="D662">
        <v>2140</v>
      </c>
      <c r="E662">
        <v>7</v>
      </c>
      <c r="F662">
        <v>2013</v>
      </c>
      <c r="G662">
        <v>0</v>
      </c>
      <c r="H662">
        <v>0</v>
      </c>
      <c r="I662">
        <v>0</v>
      </c>
      <c r="J662" s="2" t="s">
        <v>15</v>
      </c>
    </row>
    <row r="663" spans="1:10" x14ac:dyDescent="0.2">
      <c r="A663">
        <v>662</v>
      </c>
      <c r="B663" s="2" t="s">
        <v>17</v>
      </c>
      <c r="C663" s="2" t="s">
        <v>14</v>
      </c>
      <c r="D663">
        <v>1070</v>
      </c>
      <c r="G663">
        <v>0</v>
      </c>
      <c r="H663">
        <v>0</v>
      </c>
      <c r="I663">
        <v>0</v>
      </c>
      <c r="J663" s="2" t="s">
        <v>15</v>
      </c>
    </row>
    <row r="664" spans="1:10" x14ac:dyDescent="0.2">
      <c r="A664">
        <v>663</v>
      </c>
      <c r="B664" s="2" t="s">
        <v>14</v>
      </c>
      <c r="C664" s="2" t="s">
        <v>13</v>
      </c>
      <c r="D664">
        <v>7860</v>
      </c>
      <c r="E664">
        <v>5</v>
      </c>
      <c r="F664">
        <v>2005</v>
      </c>
      <c r="G664">
        <v>0</v>
      </c>
      <c r="H664">
        <v>0</v>
      </c>
      <c r="I664">
        <v>0</v>
      </c>
      <c r="J664" s="2" t="s">
        <v>15</v>
      </c>
    </row>
    <row r="665" spans="1:10" x14ac:dyDescent="0.2">
      <c r="A665">
        <v>664</v>
      </c>
      <c r="B665" s="2" t="s">
        <v>17</v>
      </c>
      <c r="C665" s="2" t="s">
        <v>13</v>
      </c>
      <c r="D665">
        <v>1680</v>
      </c>
      <c r="E665">
        <v>10</v>
      </c>
      <c r="F665">
        <v>2005</v>
      </c>
      <c r="G665">
        <v>0</v>
      </c>
      <c r="H665">
        <v>0</v>
      </c>
      <c r="I665">
        <v>0</v>
      </c>
      <c r="J665" s="2" t="s">
        <v>15</v>
      </c>
    </row>
    <row r="666" spans="1:10" x14ac:dyDescent="0.2">
      <c r="A666">
        <v>665</v>
      </c>
      <c r="B666" s="2" t="s">
        <v>14</v>
      </c>
      <c r="C666" s="2" t="s">
        <v>14</v>
      </c>
      <c r="D666">
        <v>90</v>
      </c>
      <c r="E666">
        <v>12</v>
      </c>
      <c r="F666">
        <v>2012</v>
      </c>
      <c r="G666">
        <v>1</v>
      </c>
      <c r="H666">
        <v>14</v>
      </c>
      <c r="I666">
        <v>2011</v>
      </c>
      <c r="J666" s="2" t="s">
        <v>16</v>
      </c>
    </row>
    <row r="667" spans="1:10" x14ac:dyDescent="0.2">
      <c r="A667">
        <v>666</v>
      </c>
      <c r="B667" s="2" t="s">
        <v>13</v>
      </c>
      <c r="C667" s="2" t="s">
        <v>13</v>
      </c>
      <c r="D667">
        <v>2700</v>
      </c>
      <c r="G667">
        <v>1</v>
      </c>
      <c r="H667">
        <v>9</v>
      </c>
      <c r="I667">
        <v>2011</v>
      </c>
      <c r="J667" s="2" t="s">
        <v>19</v>
      </c>
    </row>
    <row r="668" spans="1:10" x14ac:dyDescent="0.2">
      <c r="A668">
        <v>667</v>
      </c>
      <c r="B668" s="2" t="s">
        <v>17</v>
      </c>
      <c r="C668" s="2" t="s">
        <v>13</v>
      </c>
      <c r="D668">
        <v>2870</v>
      </c>
      <c r="E668">
        <v>9</v>
      </c>
      <c r="F668">
        <v>2012</v>
      </c>
      <c r="G668">
        <v>0</v>
      </c>
      <c r="H668">
        <v>0</v>
      </c>
      <c r="I668">
        <v>0</v>
      </c>
      <c r="J668" s="2" t="s">
        <v>15</v>
      </c>
    </row>
    <row r="669" spans="1:10" x14ac:dyDescent="0.2">
      <c r="A669">
        <v>668</v>
      </c>
      <c r="B669" s="2" t="s">
        <v>13</v>
      </c>
      <c r="C669" s="2" t="s">
        <v>14</v>
      </c>
      <c r="D669">
        <v>1270</v>
      </c>
      <c r="E669">
        <v>9</v>
      </c>
      <c r="F669">
        <v>2010</v>
      </c>
      <c r="G669">
        <v>0</v>
      </c>
      <c r="H669">
        <v>0</v>
      </c>
      <c r="I669">
        <v>0</v>
      </c>
      <c r="J669" s="2" t="s">
        <v>15</v>
      </c>
    </row>
    <row r="670" spans="1:10" x14ac:dyDescent="0.2">
      <c r="A670">
        <v>669</v>
      </c>
      <c r="B670" s="2" t="s">
        <v>17</v>
      </c>
      <c r="C670" s="2" t="s">
        <v>14</v>
      </c>
      <c r="D670">
        <v>17080</v>
      </c>
      <c r="E670">
        <v>7</v>
      </c>
      <c r="F670">
        <v>2012</v>
      </c>
      <c r="G670">
        <v>1</v>
      </c>
      <c r="H670">
        <v>31</v>
      </c>
      <c r="I670">
        <v>2013</v>
      </c>
      <c r="J670" s="2" t="s">
        <v>16</v>
      </c>
    </row>
    <row r="671" spans="1:10" x14ac:dyDescent="0.2">
      <c r="A671">
        <v>670</v>
      </c>
      <c r="B671" s="2" t="s">
        <v>14</v>
      </c>
      <c r="C671" s="2" t="s">
        <v>14</v>
      </c>
      <c r="D671">
        <v>2060</v>
      </c>
      <c r="G671">
        <v>1</v>
      </c>
      <c r="H671">
        <v>45</v>
      </c>
      <c r="I671">
        <v>2009</v>
      </c>
      <c r="J671" s="2" t="s">
        <v>18</v>
      </c>
    </row>
    <row r="672" spans="1:10" x14ac:dyDescent="0.2">
      <c r="A672">
        <v>671</v>
      </c>
      <c r="B672" s="2" t="s">
        <v>14</v>
      </c>
      <c r="C672" s="2" t="s">
        <v>13</v>
      </c>
      <c r="D672">
        <v>2070</v>
      </c>
      <c r="E672">
        <v>2</v>
      </c>
      <c r="F672">
        <v>2008</v>
      </c>
      <c r="G672">
        <v>1</v>
      </c>
      <c r="H672">
        <v>39</v>
      </c>
      <c r="I672">
        <v>2010</v>
      </c>
      <c r="J672" s="2" t="s">
        <v>16</v>
      </c>
    </row>
    <row r="673" spans="1:10" x14ac:dyDescent="0.2">
      <c r="A673">
        <v>672</v>
      </c>
      <c r="B673" s="2" t="s">
        <v>13</v>
      </c>
      <c r="C673" s="2" t="s">
        <v>14</v>
      </c>
      <c r="D673">
        <v>240</v>
      </c>
      <c r="E673">
        <v>9</v>
      </c>
      <c r="F673">
        <v>2002</v>
      </c>
      <c r="G673">
        <v>0</v>
      </c>
      <c r="H673">
        <v>0</v>
      </c>
      <c r="I673">
        <v>0</v>
      </c>
      <c r="J673" s="2" t="s">
        <v>15</v>
      </c>
    </row>
    <row r="674" spans="1:10" x14ac:dyDescent="0.2">
      <c r="A674">
        <v>673</v>
      </c>
      <c r="B674" s="2" t="s">
        <v>17</v>
      </c>
      <c r="C674" s="2" t="s">
        <v>13</v>
      </c>
      <c r="D674">
        <v>15170</v>
      </c>
      <c r="G674">
        <v>1</v>
      </c>
      <c r="H674">
        <v>5</v>
      </c>
      <c r="I674">
        <v>2013</v>
      </c>
      <c r="J674" s="2" t="s">
        <v>18</v>
      </c>
    </row>
    <row r="675" spans="1:10" x14ac:dyDescent="0.2">
      <c r="A675">
        <v>674</v>
      </c>
      <c r="B675" s="2" t="s">
        <v>14</v>
      </c>
      <c r="C675" s="2" t="s">
        <v>14</v>
      </c>
      <c r="D675">
        <v>2640</v>
      </c>
      <c r="E675">
        <v>12</v>
      </c>
      <c r="F675">
        <v>2005</v>
      </c>
      <c r="G675">
        <v>1</v>
      </c>
      <c r="H675">
        <v>31</v>
      </c>
      <c r="I675">
        <v>2013</v>
      </c>
      <c r="J675" s="2" t="s">
        <v>18</v>
      </c>
    </row>
    <row r="676" spans="1:10" x14ac:dyDescent="0.2">
      <c r="A676">
        <v>675</v>
      </c>
      <c r="B676" s="2" t="s">
        <v>14</v>
      </c>
      <c r="C676" s="2" t="s">
        <v>14</v>
      </c>
      <c r="D676">
        <v>2100</v>
      </c>
      <c r="E676">
        <v>8</v>
      </c>
      <c r="F676">
        <v>2013</v>
      </c>
      <c r="G676">
        <v>1</v>
      </c>
      <c r="H676">
        <v>14</v>
      </c>
      <c r="I676">
        <v>2011</v>
      </c>
      <c r="J676" s="2" t="s">
        <v>16</v>
      </c>
    </row>
    <row r="677" spans="1:10" x14ac:dyDescent="0.2">
      <c r="A677">
        <v>676</v>
      </c>
      <c r="B677" s="2" t="s">
        <v>20</v>
      </c>
      <c r="C677" s="2" t="s">
        <v>20</v>
      </c>
      <c r="D677">
        <v>1410</v>
      </c>
      <c r="E677">
        <v>9</v>
      </c>
      <c r="F677">
        <v>2008</v>
      </c>
      <c r="G677">
        <v>0</v>
      </c>
      <c r="H677">
        <v>0</v>
      </c>
      <c r="I677">
        <v>0</v>
      </c>
      <c r="J677" s="2" t="s">
        <v>15</v>
      </c>
    </row>
    <row r="678" spans="1:10" x14ac:dyDescent="0.2">
      <c r="A678">
        <v>677</v>
      </c>
      <c r="B678" s="2" t="s">
        <v>17</v>
      </c>
      <c r="C678" s="2" t="s">
        <v>14</v>
      </c>
      <c r="D678">
        <v>1740</v>
      </c>
      <c r="E678">
        <v>6</v>
      </c>
      <c r="F678">
        <v>2014</v>
      </c>
      <c r="G678">
        <v>1</v>
      </c>
      <c r="H678">
        <v>45</v>
      </c>
      <c r="I678">
        <v>2009</v>
      </c>
      <c r="J678" s="2" t="s">
        <v>18</v>
      </c>
    </row>
    <row r="679" spans="1:10" x14ac:dyDescent="0.2">
      <c r="A679">
        <v>678</v>
      </c>
      <c r="B679" s="2" t="s">
        <v>13</v>
      </c>
      <c r="C679" s="2" t="s">
        <v>14</v>
      </c>
      <c r="D679">
        <v>3250</v>
      </c>
      <c r="G679">
        <v>1</v>
      </c>
      <c r="H679">
        <v>40</v>
      </c>
      <c r="I679">
        <v>2011</v>
      </c>
      <c r="J679" s="2" t="s">
        <v>16</v>
      </c>
    </row>
    <row r="680" spans="1:10" x14ac:dyDescent="0.2">
      <c r="A680">
        <v>679</v>
      </c>
      <c r="B680" s="2" t="s">
        <v>14</v>
      </c>
      <c r="C680" s="2" t="s">
        <v>14</v>
      </c>
      <c r="D680">
        <v>4140</v>
      </c>
      <c r="E680">
        <v>9</v>
      </c>
      <c r="F680">
        <v>2012</v>
      </c>
      <c r="G680">
        <v>0</v>
      </c>
      <c r="H680">
        <v>0</v>
      </c>
      <c r="I680">
        <v>0</v>
      </c>
      <c r="J680" s="2" t="s">
        <v>15</v>
      </c>
    </row>
    <row r="681" spans="1:10" x14ac:dyDescent="0.2">
      <c r="A681">
        <v>680</v>
      </c>
      <c r="B681" s="2" t="s">
        <v>13</v>
      </c>
      <c r="C681" s="2" t="s">
        <v>14</v>
      </c>
      <c r="D681">
        <v>170</v>
      </c>
      <c r="G681">
        <v>1</v>
      </c>
      <c r="H681">
        <v>35</v>
      </c>
      <c r="I681">
        <v>2012</v>
      </c>
      <c r="J681" s="2" t="s">
        <v>19</v>
      </c>
    </row>
    <row r="682" spans="1:10" x14ac:dyDescent="0.2">
      <c r="A682">
        <v>681</v>
      </c>
      <c r="B682" s="2" t="s">
        <v>14</v>
      </c>
      <c r="C682" s="2" t="s">
        <v>13</v>
      </c>
      <c r="D682">
        <v>620</v>
      </c>
      <c r="G682">
        <v>1</v>
      </c>
      <c r="H682">
        <v>1</v>
      </c>
      <c r="I682">
        <v>2014</v>
      </c>
      <c r="J682" s="2" t="s">
        <v>19</v>
      </c>
    </row>
    <row r="683" spans="1:10" x14ac:dyDescent="0.2">
      <c r="A683">
        <v>682</v>
      </c>
      <c r="B683" s="2" t="s">
        <v>20</v>
      </c>
      <c r="C683" s="2" t="s">
        <v>14</v>
      </c>
      <c r="D683">
        <v>150</v>
      </c>
      <c r="E683">
        <v>9</v>
      </c>
      <c r="F683">
        <v>2006</v>
      </c>
      <c r="G683">
        <v>0</v>
      </c>
      <c r="H683">
        <v>0</v>
      </c>
      <c r="I683">
        <v>0</v>
      </c>
      <c r="J683" s="2" t="s">
        <v>15</v>
      </c>
    </row>
    <row r="684" spans="1:10" x14ac:dyDescent="0.2">
      <c r="A684">
        <v>683</v>
      </c>
      <c r="B684" s="2" t="s">
        <v>14</v>
      </c>
      <c r="C684" s="2" t="s">
        <v>14</v>
      </c>
      <c r="D684">
        <v>2850</v>
      </c>
      <c r="E684">
        <v>7</v>
      </c>
      <c r="F684">
        <v>2014</v>
      </c>
      <c r="G684">
        <v>0</v>
      </c>
      <c r="H684">
        <v>0</v>
      </c>
      <c r="I684">
        <v>0</v>
      </c>
      <c r="J684" s="2" t="s">
        <v>15</v>
      </c>
    </row>
    <row r="685" spans="1:10" x14ac:dyDescent="0.2">
      <c r="A685">
        <v>684</v>
      </c>
      <c r="B685" s="2" t="s">
        <v>17</v>
      </c>
      <c r="C685" s="2" t="s">
        <v>13</v>
      </c>
      <c r="D685">
        <v>680</v>
      </c>
      <c r="G685">
        <v>1</v>
      </c>
      <c r="H685">
        <v>22</v>
      </c>
      <c r="I685">
        <v>2012</v>
      </c>
      <c r="J685" s="2" t="s">
        <v>16</v>
      </c>
    </row>
    <row r="686" spans="1:10" x14ac:dyDescent="0.2">
      <c r="A686">
        <v>685</v>
      </c>
      <c r="B686" s="2" t="s">
        <v>14</v>
      </c>
      <c r="C686" s="2" t="s">
        <v>14</v>
      </c>
      <c r="D686">
        <v>650</v>
      </c>
      <c r="E686">
        <v>11</v>
      </c>
      <c r="F686">
        <v>2013</v>
      </c>
      <c r="G686">
        <v>1</v>
      </c>
      <c r="H686">
        <v>37</v>
      </c>
      <c r="I686">
        <v>2009</v>
      </c>
      <c r="J686" s="2" t="s">
        <v>16</v>
      </c>
    </row>
    <row r="687" spans="1:10" x14ac:dyDescent="0.2">
      <c r="A687">
        <v>686</v>
      </c>
      <c r="B687" s="2" t="s">
        <v>14</v>
      </c>
      <c r="C687" s="2" t="s">
        <v>14</v>
      </c>
      <c r="D687">
        <v>20050</v>
      </c>
      <c r="E687">
        <v>4</v>
      </c>
      <c r="F687">
        <v>2002</v>
      </c>
      <c r="G687">
        <v>0</v>
      </c>
      <c r="H687">
        <v>0</v>
      </c>
      <c r="I687">
        <v>0</v>
      </c>
      <c r="J687" s="2" t="s">
        <v>15</v>
      </c>
    </row>
    <row r="688" spans="1:10" x14ac:dyDescent="0.2">
      <c r="A688">
        <v>687</v>
      </c>
      <c r="B688" s="2" t="s">
        <v>17</v>
      </c>
      <c r="C688" s="2" t="s">
        <v>13</v>
      </c>
      <c r="D688">
        <v>2770</v>
      </c>
      <c r="G688">
        <v>0</v>
      </c>
      <c r="H688">
        <v>0</v>
      </c>
      <c r="I688">
        <v>0</v>
      </c>
      <c r="J688" s="2" t="s">
        <v>15</v>
      </c>
    </row>
    <row r="689" spans="1:10" x14ac:dyDescent="0.2">
      <c r="A689">
        <v>688</v>
      </c>
      <c r="B689" s="2" t="s">
        <v>14</v>
      </c>
      <c r="C689" s="2" t="s">
        <v>14</v>
      </c>
      <c r="D689">
        <v>18760</v>
      </c>
      <c r="E689">
        <v>8</v>
      </c>
      <c r="F689">
        <v>2015</v>
      </c>
      <c r="G689">
        <v>1</v>
      </c>
      <c r="H689">
        <v>14</v>
      </c>
      <c r="I689">
        <v>2011</v>
      </c>
      <c r="J689" s="2" t="s">
        <v>16</v>
      </c>
    </row>
    <row r="690" spans="1:10" x14ac:dyDescent="0.2">
      <c r="A690">
        <v>689</v>
      </c>
      <c r="B690" s="2" t="s">
        <v>17</v>
      </c>
      <c r="C690" s="2" t="s">
        <v>14</v>
      </c>
      <c r="D690">
        <v>15040</v>
      </c>
      <c r="E690">
        <v>10</v>
      </c>
      <c r="F690">
        <v>2004</v>
      </c>
      <c r="G690">
        <v>0</v>
      </c>
      <c r="H690">
        <v>0</v>
      </c>
      <c r="I690">
        <v>0</v>
      </c>
      <c r="J690" s="2" t="s">
        <v>15</v>
      </c>
    </row>
    <row r="691" spans="1:10" x14ac:dyDescent="0.2">
      <c r="A691">
        <v>690</v>
      </c>
      <c r="B691" s="2" t="s">
        <v>14</v>
      </c>
      <c r="C691" s="2" t="s">
        <v>14</v>
      </c>
      <c r="D691">
        <v>100</v>
      </c>
      <c r="G691">
        <v>0</v>
      </c>
      <c r="H691">
        <v>0</v>
      </c>
      <c r="I691">
        <v>0</v>
      </c>
      <c r="J691" s="2" t="s">
        <v>15</v>
      </c>
    </row>
    <row r="692" spans="1:10" x14ac:dyDescent="0.2">
      <c r="A692">
        <v>691</v>
      </c>
      <c r="B692" s="2" t="s">
        <v>17</v>
      </c>
      <c r="C692" s="2" t="s">
        <v>13</v>
      </c>
      <c r="D692">
        <v>3030</v>
      </c>
      <c r="G692">
        <v>1</v>
      </c>
      <c r="H692">
        <v>37</v>
      </c>
      <c r="I692">
        <v>2009</v>
      </c>
      <c r="J692" s="2" t="s">
        <v>16</v>
      </c>
    </row>
    <row r="693" spans="1:10" x14ac:dyDescent="0.2">
      <c r="A693">
        <v>692</v>
      </c>
      <c r="B693" s="2" t="s">
        <v>14</v>
      </c>
      <c r="C693" s="2" t="s">
        <v>14</v>
      </c>
      <c r="D693">
        <v>40</v>
      </c>
      <c r="E693">
        <v>8</v>
      </c>
      <c r="F693">
        <v>2001</v>
      </c>
      <c r="G693">
        <v>0</v>
      </c>
      <c r="H693">
        <v>0</v>
      </c>
      <c r="I693">
        <v>0</v>
      </c>
      <c r="J693" s="2" t="s">
        <v>15</v>
      </c>
    </row>
    <row r="694" spans="1:10" x14ac:dyDescent="0.2">
      <c r="A694">
        <v>693</v>
      </c>
      <c r="B694" s="2" t="s">
        <v>17</v>
      </c>
      <c r="C694" s="2" t="s">
        <v>14</v>
      </c>
      <c r="D694">
        <v>450</v>
      </c>
      <c r="G694">
        <v>1</v>
      </c>
      <c r="H694">
        <v>40</v>
      </c>
      <c r="I694">
        <v>2011</v>
      </c>
      <c r="J694" s="2" t="s">
        <v>16</v>
      </c>
    </row>
    <row r="695" spans="1:10" x14ac:dyDescent="0.2">
      <c r="A695">
        <v>694</v>
      </c>
      <c r="B695" s="2" t="s">
        <v>14</v>
      </c>
      <c r="C695" s="2" t="s">
        <v>13</v>
      </c>
      <c r="D695">
        <v>460</v>
      </c>
      <c r="E695">
        <v>11</v>
      </c>
      <c r="F695">
        <v>2012</v>
      </c>
      <c r="G695">
        <v>1</v>
      </c>
      <c r="H695">
        <v>40</v>
      </c>
      <c r="I695">
        <v>2014</v>
      </c>
      <c r="J695" s="2" t="s">
        <v>16</v>
      </c>
    </row>
    <row r="696" spans="1:10" x14ac:dyDescent="0.2">
      <c r="A696">
        <v>695</v>
      </c>
      <c r="B696" s="2" t="s">
        <v>14</v>
      </c>
      <c r="C696" s="2" t="s">
        <v>14</v>
      </c>
      <c r="D696">
        <v>550</v>
      </c>
      <c r="E696">
        <v>7</v>
      </c>
      <c r="F696">
        <v>2011</v>
      </c>
      <c r="G696">
        <v>1</v>
      </c>
      <c r="H696">
        <v>1</v>
      </c>
      <c r="I696">
        <v>2012</v>
      </c>
      <c r="J696" s="2" t="s">
        <v>16</v>
      </c>
    </row>
    <row r="697" spans="1:10" x14ac:dyDescent="0.2">
      <c r="A697">
        <v>696</v>
      </c>
      <c r="B697" s="2" t="s">
        <v>14</v>
      </c>
      <c r="C697" s="2" t="s">
        <v>13</v>
      </c>
      <c r="D697">
        <v>430</v>
      </c>
      <c r="G697">
        <v>0</v>
      </c>
      <c r="H697">
        <v>0</v>
      </c>
      <c r="I697">
        <v>0</v>
      </c>
      <c r="J697" s="2" t="s">
        <v>15</v>
      </c>
    </row>
    <row r="698" spans="1:10" x14ac:dyDescent="0.2">
      <c r="A698">
        <v>697</v>
      </c>
      <c r="B698" s="2" t="s">
        <v>17</v>
      </c>
      <c r="C698" s="2" t="s">
        <v>14</v>
      </c>
      <c r="D698">
        <v>3780</v>
      </c>
      <c r="G698">
        <v>1</v>
      </c>
      <c r="H698">
        <v>40</v>
      </c>
      <c r="I698">
        <v>2011</v>
      </c>
      <c r="J698" s="2" t="s">
        <v>16</v>
      </c>
    </row>
    <row r="699" spans="1:10" x14ac:dyDescent="0.2">
      <c r="A699">
        <v>698</v>
      </c>
      <c r="B699" s="2" t="s">
        <v>14</v>
      </c>
      <c r="C699" s="2" t="s">
        <v>14</v>
      </c>
      <c r="D699">
        <v>1790</v>
      </c>
      <c r="E699">
        <v>5</v>
      </c>
      <c r="F699">
        <v>2011</v>
      </c>
      <c r="G699">
        <v>0</v>
      </c>
      <c r="H699">
        <v>0</v>
      </c>
      <c r="I699">
        <v>0</v>
      </c>
      <c r="J699" s="2" t="s">
        <v>15</v>
      </c>
    </row>
    <row r="700" spans="1:10" x14ac:dyDescent="0.2">
      <c r="A700">
        <v>699</v>
      </c>
      <c r="B700" s="2" t="s">
        <v>14</v>
      </c>
      <c r="C700" s="2" t="s">
        <v>14</v>
      </c>
      <c r="D700">
        <v>180</v>
      </c>
      <c r="G700">
        <v>1</v>
      </c>
      <c r="H700">
        <v>5</v>
      </c>
      <c r="I700">
        <v>2013</v>
      </c>
      <c r="J700" s="2" t="s">
        <v>16</v>
      </c>
    </row>
    <row r="701" spans="1:10" x14ac:dyDescent="0.2">
      <c r="A701">
        <v>700</v>
      </c>
      <c r="B701" s="2" t="s">
        <v>14</v>
      </c>
      <c r="C701" s="2" t="s">
        <v>13</v>
      </c>
      <c r="D701">
        <v>830</v>
      </c>
      <c r="G701">
        <v>1</v>
      </c>
      <c r="H701">
        <v>27</v>
      </c>
      <c r="I701">
        <v>2013</v>
      </c>
      <c r="J701" s="2" t="s">
        <v>16</v>
      </c>
    </row>
    <row r="702" spans="1:10" x14ac:dyDescent="0.2">
      <c r="A702">
        <v>701</v>
      </c>
      <c r="B702" s="2" t="s">
        <v>17</v>
      </c>
      <c r="C702" s="2" t="s">
        <v>14</v>
      </c>
      <c r="D702">
        <v>1450</v>
      </c>
      <c r="E702">
        <v>3</v>
      </c>
      <c r="F702">
        <v>2012</v>
      </c>
      <c r="G702">
        <v>1</v>
      </c>
      <c r="H702">
        <v>14</v>
      </c>
      <c r="I702">
        <v>2011</v>
      </c>
      <c r="J702" s="2" t="s">
        <v>16</v>
      </c>
    </row>
    <row r="703" spans="1:10" x14ac:dyDescent="0.2">
      <c r="A703">
        <v>702</v>
      </c>
      <c r="B703" s="2" t="s">
        <v>14</v>
      </c>
      <c r="C703" s="2" t="s">
        <v>14</v>
      </c>
      <c r="D703">
        <v>8550</v>
      </c>
      <c r="E703">
        <v>9</v>
      </c>
      <c r="F703">
        <v>2001</v>
      </c>
      <c r="G703">
        <v>1</v>
      </c>
      <c r="H703">
        <v>45</v>
      </c>
      <c r="I703">
        <v>2009</v>
      </c>
      <c r="J703" s="2" t="s">
        <v>18</v>
      </c>
    </row>
    <row r="704" spans="1:10" x14ac:dyDescent="0.2">
      <c r="A704">
        <v>703</v>
      </c>
      <c r="B704" s="2" t="s">
        <v>14</v>
      </c>
      <c r="C704" s="2" t="s">
        <v>14</v>
      </c>
      <c r="D704">
        <v>80</v>
      </c>
      <c r="E704">
        <v>6</v>
      </c>
      <c r="F704">
        <v>2005</v>
      </c>
      <c r="G704">
        <v>0</v>
      </c>
      <c r="H704">
        <v>0</v>
      </c>
      <c r="I704">
        <v>0</v>
      </c>
      <c r="J704" s="2" t="s">
        <v>15</v>
      </c>
    </row>
    <row r="705" spans="1:10" x14ac:dyDescent="0.2">
      <c r="A705">
        <v>704</v>
      </c>
      <c r="B705" s="2" t="s">
        <v>17</v>
      </c>
      <c r="C705" s="2" t="s">
        <v>13</v>
      </c>
      <c r="D705">
        <v>1910</v>
      </c>
      <c r="E705">
        <v>4</v>
      </c>
      <c r="F705">
        <v>2009</v>
      </c>
      <c r="G705">
        <v>0</v>
      </c>
      <c r="H705">
        <v>0</v>
      </c>
      <c r="I705">
        <v>0</v>
      </c>
      <c r="J705" s="2" t="s">
        <v>15</v>
      </c>
    </row>
    <row r="706" spans="1:10" x14ac:dyDescent="0.2">
      <c r="A706">
        <v>705</v>
      </c>
      <c r="B706" s="2" t="s">
        <v>14</v>
      </c>
      <c r="C706" s="2" t="s">
        <v>14</v>
      </c>
      <c r="D706">
        <v>4140</v>
      </c>
      <c r="E706">
        <v>9</v>
      </c>
      <c r="F706">
        <v>2012</v>
      </c>
      <c r="G706">
        <v>1</v>
      </c>
      <c r="H706">
        <v>18</v>
      </c>
      <c r="I706">
        <v>2011</v>
      </c>
      <c r="J706" s="2" t="s">
        <v>18</v>
      </c>
    </row>
    <row r="707" spans="1:10" x14ac:dyDescent="0.2">
      <c r="A707">
        <v>706</v>
      </c>
      <c r="B707" s="2" t="s">
        <v>17</v>
      </c>
      <c r="C707" s="2" t="s">
        <v>14</v>
      </c>
      <c r="D707">
        <v>7830</v>
      </c>
      <c r="E707">
        <v>9</v>
      </c>
      <c r="F707">
        <v>2014</v>
      </c>
      <c r="G707">
        <v>1</v>
      </c>
      <c r="H707">
        <v>10</v>
      </c>
      <c r="I707">
        <v>2014</v>
      </c>
      <c r="J707" s="2" t="s">
        <v>19</v>
      </c>
    </row>
    <row r="708" spans="1:10" x14ac:dyDescent="0.2">
      <c r="A708">
        <v>707</v>
      </c>
      <c r="B708" s="2" t="s">
        <v>14</v>
      </c>
      <c r="C708" s="2" t="s">
        <v>13</v>
      </c>
      <c r="D708">
        <v>2900</v>
      </c>
      <c r="E708">
        <v>7</v>
      </c>
      <c r="F708">
        <v>1990</v>
      </c>
      <c r="G708">
        <v>0</v>
      </c>
      <c r="H708">
        <v>0</v>
      </c>
      <c r="I708">
        <v>0</v>
      </c>
      <c r="J708" s="2" t="s">
        <v>15</v>
      </c>
    </row>
    <row r="709" spans="1:10" x14ac:dyDescent="0.2">
      <c r="A709">
        <v>708</v>
      </c>
      <c r="B709" s="2" t="s">
        <v>13</v>
      </c>
      <c r="C709" s="2" t="s">
        <v>13</v>
      </c>
      <c r="D709">
        <v>11470</v>
      </c>
      <c r="E709">
        <v>10</v>
      </c>
      <c r="F709">
        <v>2009</v>
      </c>
      <c r="G709">
        <v>1</v>
      </c>
      <c r="H709">
        <v>18</v>
      </c>
      <c r="I709">
        <v>2014</v>
      </c>
      <c r="J709" s="2" t="s">
        <v>16</v>
      </c>
    </row>
    <row r="710" spans="1:10" x14ac:dyDescent="0.2">
      <c r="A710">
        <v>709</v>
      </c>
      <c r="B710" s="2" t="s">
        <v>14</v>
      </c>
      <c r="C710" s="2" t="s">
        <v>14</v>
      </c>
      <c r="D710">
        <v>500</v>
      </c>
      <c r="E710">
        <v>12</v>
      </c>
      <c r="F710">
        <v>2010</v>
      </c>
      <c r="G710">
        <v>0</v>
      </c>
      <c r="H710">
        <v>0</v>
      </c>
      <c r="I710">
        <v>0</v>
      </c>
      <c r="J710" s="2" t="s">
        <v>15</v>
      </c>
    </row>
    <row r="711" spans="1:10" x14ac:dyDescent="0.2">
      <c r="A711">
        <v>710</v>
      </c>
      <c r="B711" s="2" t="s">
        <v>17</v>
      </c>
      <c r="C711" s="2" t="s">
        <v>14</v>
      </c>
      <c r="D711">
        <v>1500</v>
      </c>
      <c r="E711">
        <v>9</v>
      </c>
      <c r="F711">
        <v>2008</v>
      </c>
      <c r="G711">
        <v>1</v>
      </c>
      <c r="H711">
        <v>14</v>
      </c>
      <c r="I711">
        <v>2011</v>
      </c>
      <c r="J711" s="2" t="s">
        <v>16</v>
      </c>
    </row>
    <row r="712" spans="1:10" x14ac:dyDescent="0.2">
      <c r="A712">
        <v>711</v>
      </c>
      <c r="B712" s="2" t="s">
        <v>17</v>
      </c>
      <c r="C712" s="2" t="s">
        <v>14</v>
      </c>
      <c r="D712">
        <v>17110</v>
      </c>
      <c r="E712">
        <v>3</v>
      </c>
      <c r="F712">
        <v>2007</v>
      </c>
      <c r="G712">
        <v>1</v>
      </c>
      <c r="H712">
        <v>5</v>
      </c>
      <c r="I712">
        <v>2010</v>
      </c>
      <c r="J712" s="2" t="s">
        <v>16</v>
      </c>
    </row>
    <row r="713" spans="1:10" x14ac:dyDescent="0.2">
      <c r="A713">
        <v>712</v>
      </c>
      <c r="B713" s="2" t="s">
        <v>14</v>
      </c>
      <c r="C713" s="2" t="s">
        <v>14</v>
      </c>
      <c r="D713">
        <v>4870</v>
      </c>
      <c r="E713">
        <v>9</v>
      </c>
      <c r="F713">
        <v>2007</v>
      </c>
      <c r="G713">
        <v>1</v>
      </c>
      <c r="H713">
        <v>45</v>
      </c>
      <c r="I713">
        <v>2009</v>
      </c>
      <c r="J713" s="2" t="s">
        <v>16</v>
      </c>
    </row>
    <row r="714" spans="1:10" x14ac:dyDescent="0.2">
      <c r="A714">
        <v>713</v>
      </c>
      <c r="B714" s="2" t="s">
        <v>14</v>
      </c>
      <c r="C714" s="2" t="s">
        <v>13</v>
      </c>
      <c r="D714">
        <v>220</v>
      </c>
      <c r="G714">
        <v>1</v>
      </c>
      <c r="H714">
        <v>10</v>
      </c>
      <c r="I714">
        <v>2014</v>
      </c>
      <c r="J714" s="2" t="s">
        <v>16</v>
      </c>
    </row>
    <row r="715" spans="1:10" x14ac:dyDescent="0.2">
      <c r="A715">
        <v>714</v>
      </c>
      <c r="B715" s="2" t="s">
        <v>17</v>
      </c>
      <c r="C715" s="2" t="s">
        <v>13</v>
      </c>
      <c r="D715">
        <v>12070</v>
      </c>
      <c r="E715">
        <v>10</v>
      </c>
      <c r="F715">
        <v>2005</v>
      </c>
      <c r="G715">
        <v>1</v>
      </c>
      <c r="H715">
        <v>10</v>
      </c>
      <c r="I715">
        <v>2013</v>
      </c>
      <c r="J715" s="2" t="s">
        <v>16</v>
      </c>
    </row>
    <row r="716" spans="1:10" x14ac:dyDescent="0.2">
      <c r="A716">
        <v>715</v>
      </c>
      <c r="B716" s="2" t="s">
        <v>14</v>
      </c>
      <c r="C716" s="2" t="s">
        <v>14</v>
      </c>
      <c r="D716">
        <v>14810</v>
      </c>
      <c r="E716">
        <v>6</v>
      </c>
      <c r="F716">
        <v>2014</v>
      </c>
      <c r="G716">
        <v>0</v>
      </c>
      <c r="H716">
        <v>0</v>
      </c>
      <c r="I716">
        <v>0</v>
      </c>
      <c r="J716" s="2" t="s">
        <v>15</v>
      </c>
    </row>
    <row r="717" spans="1:10" x14ac:dyDescent="0.2">
      <c r="A717">
        <v>716</v>
      </c>
      <c r="B717" s="2" t="s">
        <v>17</v>
      </c>
      <c r="C717" s="2" t="s">
        <v>14</v>
      </c>
      <c r="D717">
        <v>3200</v>
      </c>
      <c r="E717">
        <v>1</v>
      </c>
      <c r="F717">
        <v>2008</v>
      </c>
      <c r="G717">
        <v>1</v>
      </c>
      <c r="H717">
        <v>22</v>
      </c>
      <c r="I717">
        <v>2011</v>
      </c>
      <c r="J717" s="2" t="s">
        <v>16</v>
      </c>
    </row>
    <row r="718" spans="1:10" x14ac:dyDescent="0.2">
      <c r="A718">
        <v>717</v>
      </c>
      <c r="B718" s="2" t="s">
        <v>17</v>
      </c>
      <c r="C718" s="2" t="s">
        <v>13</v>
      </c>
      <c r="D718">
        <v>310</v>
      </c>
      <c r="G718">
        <v>1</v>
      </c>
      <c r="H718">
        <v>40</v>
      </c>
      <c r="I718">
        <v>2011</v>
      </c>
      <c r="J718" s="2" t="s">
        <v>16</v>
      </c>
    </row>
    <row r="719" spans="1:10" x14ac:dyDescent="0.2">
      <c r="A719">
        <v>718</v>
      </c>
      <c r="B719" s="2" t="s">
        <v>14</v>
      </c>
      <c r="C719" s="2" t="s">
        <v>14</v>
      </c>
      <c r="D719">
        <v>1100</v>
      </c>
      <c r="E719">
        <v>6</v>
      </c>
      <c r="F719">
        <v>2015</v>
      </c>
      <c r="G719">
        <v>0</v>
      </c>
      <c r="H719">
        <v>0</v>
      </c>
      <c r="I719">
        <v>0</v>
      </c>
      <c r="J719" s="2" t="s">
        <v>15</v>
      </c>
    </row>
    <row r="720" spans="1:10" x14ac:dyDescent="0.2">
      <c r="A720">
        <v>719</v>
      </c>
      <c r="B720" s="2" t="s">
        <v>13</v>
      </c>
      <c r="C720" s="2" t="s">
        <v>13</v>
      </c>
      <c r="D720">
        <v>8190</v>
      </c>
      <c r="G720">
        <v>1</v>
      </c>
      <c r="H720">
        <v>45</v>
      </c>
      <c r="I720">
        <v>2009</v>
      </c>
      <c r="J720" s="2" t="s">
        <v>18</v>
      </c>
    </row>
    <row r="721" spans="1:10" x14ac:dyDescent="0.2">
      <c r="A721">
        <v>720</v>
      </c>
      <c r="B721" s="2" t="s">
        <v>14</v>
      </c>
      <c r="C721" s="2" t="s">
        <v>13</v>
      </c>
      <c r="D721">
        <v>15320</v>
      </c>
      <c r="E721">
        <v>3</v>
      </c>
      <c r="F721">
        <v>2011</v>
      </c>
      <c r="G721">
        <v>1</v>
      </c>
      <c r="H721">
        <v>14</v>
      </c>
      <c r="I721">
        <v>2013</v>
      </c>
      <c r="J721" s="2" t="s">
        <v>18</v>
      </c>
    </row>
    <row r="722" spans="1:10" x14ac:dyDescent="0.2">
      <c r="A722">
        <v>721</v>
      </c>
      <c r="B722" s="2" t="s">
        <v>14</v>
      </c>
      <c r="C722" s="2" t="s">
        <v>13</v>
      </c>
      <c r="D722">
        <v>3590</v>
      </c>
      <c r="E722">
        <v>9</v>
      </c>
      <c r="F722">
        <v>2012</v>
      </c>
      <c r="G722">
        <v>1</v>
      </c>
      <c r="H722">
        <v>22</v>
      </c>
      <c r="I722">
        <v>2012</v>
      </c>
      <c r="J722" s="2" t="s">
        <v>19</v>
      </c>
    </row>
    <row r="723" spans="1:10" x14ac:dyDescent="0.2">
      <c r="A723">
        <v>722</v>
      </c>
      <c r="B723" s="2" t="s">
        <v>14</v>
      </c>
      <c r="C723" s="2" t="s">
        <v>14</v>
      </c>
      <c r="D723">
        <v>50</v>
      </c>
      <c r="G723">
        <v>0</v>
      </c>
      <c r="H723">
        <v>0</v>
      </c>
      <c r="I723">
        <v>0</v>
      </c>
      <c r="J723" s="2" t="s">
        <v>15</v>
      </c>
    </row>
    <row r="724" spans="1:10" x14ac:dyDescent="0.2">
      <c r="A724">
        <v>723</v>
      </c>
      <c r="B724" s="2" t="s">
        <v>17</v>
      </c>
      <c r="C724" s="2" t="s">
        <v>13</v>
      </c>
      <c r="D724">
        <v>5650</v>
      </c>
      <c r="E724">
        <v>9</v>
      </c>
      <c r="F724">
        <v>2008</v>
      </c>
      <c r="G724">
        <v>1</v>
      </c>
      <c r="H724">
        <v>5</v>
      </c>
      <c r="I724">
        <v>2013</v>
      </c>
      <c r="J724" s="2" t="s">
        <v>18</v>
      </c>
    </row>
    <row r="725" spans="1:10" x14ac:dyDescent="0.2">
      <c r="A725">
        <v>724</v>
      </c>
      <c r="B725" s="2" t="s">
        <v>17</v>
      </c>
      <c r="C725" s="2" t="s">
        <v>13</v>
      </c>
      <c r="D725">
        <v>5900</v>
      </c>
      <c r="G725">
        <v>0</v>
      </c>
      <c r="H725">
        <v>0</v>
      </c>
      <c r="I725">
        <v>0</v>
      </c>
      <c r="J725" s="2" t="s">
        <v>15</v>
      </c>
    </row>
    <row r="726" spans="1:10" x14ac:dyDescent="0.2">
      <c r="A726">
        <v>725</v>
      </c>
      <c r="B726" s="2" t="s">
        <v>17</v>
      </c>
      <c r="C726" s="2" t="s">
        <v>13</v>
      </c>
      <c r="D726">
        <v>17540</v>
      </c>
      <c r="E726">
        <v>6</v>
      </c>
      <c r="F726">
        <v>2012</v>
      </c>
      <c r="G726">
        <v>0</v>
      </c>
      <c r="H726">
        <v>0</v>
      </c>
      <c r="I726">
        <v>0</v>
      </c>
      <c r="J726" s="2" t="s">
        <v>15</v>
      </c>
    </row>
    <row r="727" spans="1:10" x14ac:dyDescent="0.2">
      <c r="A727">
        <v>726</v>
      </c>
      <c r="B727" s="2" t="s">
        <v>14</v>
      </c>
      <c r="C727" s="2" t="s">
        <v>13</v>
      </c>
      <c r="D727">
        <v>40540</v>
      </c>
      <c r="E727">
        <v>2</v>
      </c>
      <c r="F727">
        <v>2002</v>
      </c>
      <c r="G727">
        <v>0</v>
      </c>
      <c r="H727">
        <v>0</v>
      </c>
      <c r="I727">
        <v>0</v>
      </c>
      <c r="J727" s="2" t="s">
        <v>15</v>
      </c>
    </row>
    <row r="728" spans="1:10" x14ac:dyDescent="0.2">
      <c r="A728">
        <v>727</v>
      </c>
      <c r="B728" s="2" t="s">
        <v>14</v>
      </c>
      <c r="C728" s="2" t="s">
        <v>14</v>
      </c>
      <c r="D728">
        <v>2050</v>
      </c>
      <c r="E728">
        <v>3</v>
      </c>
      <c r="F728">
        <v>2007</v>
      </c>
      <c r="G728">
        <v>0</v>
      </c>
      <c r="H728">
        <v>0</v>
      </c>
      <c r="I728">
        <v>0</v>
      </c>
      <c r="J728" s="2" t="s">
        <v>15</v>
      </c>
    </row>
    <row r="729" spans="1:10" x14ac:dyDescent="0.2">
      <c r="A729">
        <v>728</v>
      </c>
      <c r="B729" s="2" t="s">
        <v>17</v>
      </c>
      <c r="C729" s="2" t="s">
        <v>14</v>
      </c>
      <c r="D729">
        <v>13990</v>
      </c>
      <c r="G729">
        <v>1</v>
      </c>
      <c r="H729">
        <v>14</v>
      </c>
      <c r="I729">
        <v>2011</v>
      </c>
      <c r="J729" s="2" t="s">
        <v>16</v>
      </c>
    </row>
    <row r="730" spans="1:10" x14ac:dyDescent="0.2">
      <c r="A730">
        <v>729</v>
      </c>
      <c r="B730" s="2" t="s">
        <v>13</v>
      </c>
      <c r="C730" s="2" t="s">
        <v>13</v>
      </c>
      <c r="D730">
        <v>8980</v>
      </c>
      <c r="E730">
        <v>6</v>
      </c>
      <c r="F730">
        <v>2011</v>
      </c>
      <c r="G730">
        <v>0</v>
      </c>
      <c r="H730">
        <v>0</v>
      </c>
      <c r="I730">
        <v>0</v>
      </c>
      <c r="J730" s="2" t="s">
        <v>15</v>
      </c>
    </row>
    <row r="731" spans="1:10" x14ac:dyDescent="0.2">
      <c r="A731">
        <v>730</v>
      </c>
      <c r="B731" s="2" t="s">
        <v>13</v>
      </c>
      <c r="C731" s="2" t="s">
        <v>14</v>
      </c>
      <c r="D731">
        <v>1190</v>
      </c>
      <c r="E731">
        <v>9</v>
      </c>
      <c r="F731">
        <v>2013</v>
      </c>
      <c r="G731">
        <v>0</v>
      </c>
      <c r="H731">
        <v>0</v>
      </c>
      <c r="I731">
        <v>0</v>
      </c>
      <c r="J731" s="2" t="s">
        <v>15</v>
      </c>
    </row>
    <row r="732" spans="1:10" x14ac:dyDescent="0.2">
      <c r="A732">
        <v>731</v>
      </c>
      <c r="B732" s="2" t="s">
        <v>14</v>
      </c>
      <c r="C732" s="2" t="s">
        <v>14</v>
      </c>
      <c r="D732">
        <v>15270</v>
      </c>
      <c r="G732">
        <v>1</v>
      </c>
      <c r="H732">
        <v>10</v>
      </c>
      <c r="I732">
        <v>2014</v>
      </c>
      <c r="J732" s="2" t="s">
        <v>16</v>
      </c>
    </row>
    <row r="733" spans="1:10" x14ac:dyDescent="0.2">
      <c r="A733">
        <v>732</v>
      </c>
      <c r="B733" s="2" t="s">
        <v>14</v>
      </c>
      <c r="C733" s="2" t="s">
        <v>13</v>
      </c>
      <c r="D733">
        <v>35280</v>
      </c>
      <c r="G733">
        <v>0</v>
      </c>
      <c r="H733">
        <v>0</v>
      </c>
      <c r="I733">
        <v>0</v>
      </c>
      <c r="J733" s="2" t="s">
        <v>15</v>
      </c>
    </row>
    <row r="734" spans="1:10" x14ac:dyDescent="0.2">
      <c r="A734">
        <v>733</v>
      </c>
      <c r="B734" s="2" t="s">
        <v>20</v>
      </c>
      <c r="C734" s="2" t="s">
        <v>20</v>
      </c>
      <c r="D734">
        <v>860</v>
      </c>
      <c r="E734">
        <v>10</v>
      </c>
      <c r="F734">
        <v>1999</v>
      </c>
      <c r="G734">
        <v>0</v>
      </c>
      <c r="H734">
        <v>0</v>
      </c>
      <c r="I734">
        <v>0</v>
      </c>
      <c r="J734" s="2" t="s">
        <v>15</v>
      </c>
    </row>
    <row r="735" spans="1:10" x14ac:dyDescent="0.2">
      <c r="A735">
        <v>734</v>
      </c>
      <c r="B735" s="2" t="s">
        <v>14</v>
      </c>
      <c r="C735" s="2" t="s">
        <v>14</v>
      </c>
      <c r="D735">
        <v>220</v>
      </c>
      <c r="G735">
        <v>1</v>
      </c>
      <c r="H735">
        <v>36</v>
      </c>
      <c r="I735">
        <v>2013</v>
      </c>
      <c r="J735" s="2" t="s">
        <v>19</v>
      </c>
    </row>
    <row r="736" spans="1:10" x14ac:dyDescent="0.2">
      <c r="A736">
        <v>735</v>
      </c>
      <c r="B736" s="2" t="s">
        <v>17</v>
      </c>
      <c r="C736" s="2" t="s">
        <v>13</v>
      </c>
      <c r="D736">
        <v>1920</v>
      </c>
      <c r="E736">
        <v>4</v>
      </c>
      <c r="F736">
        <v>2005</v>
      </c>
      <c r="G736">
        <v>0</v>
      </c>
      <c r="H736">
        <v>0</v>
      </c>
      <c r="I736">
        <v>0</v>
      </c>
      <c r="J736" s="2" t="s">
        <v>15</v>
      </c>
    </row>
    <row r="737" spans="1:10" x14ac:dyDescent="0.2">
      <c r="A737">
        <v>736</v>
      </c>
      <c r="B737" s="2" t="s">
        <v>13</v>
      </c>
      <c r="C737" s="2" t="s">
        <v>13</v>
      </c>
      <c r="D737">
        <v>1650</v>
      </c>
      <c r="G737">
        <v>1</v>
      </c>
      <c r="H737">
        <v>14</v>
      </c>
      <c r="I737">
        <v>2011</v>
      </c>
      <c r="J737" s="2" t="s">
        <v>16</v>
      </c>
    </row>
    <row r="738" spans="1:10" x14ac:dyDescent="0.2">
      <c r="A738">
        <v>737</v>
      </c>
      <c r="B738" s="2" t="s">
        <v>14</v>
      </c>
      <c r="C738" s="2" t="s">
        <v>14</v>
      </c>
      <c r="D738">
        <v>100</v>
      </c>
      <c r="E738">
        <v>5</v>
      </c>
      <c r="F738">
        <v>2007</v>
      </c>
      <c r="G738">
        <v>1</v>
      </c>
      <c r="H738">
        <v>31</v>
      </c>
      <c r="I738">
        <v>2013</v>
      </c>
      <c r="J738" s="2" t="s">
        <v>16</v>
      </c>
    </row>
    <row r="739" spans="1:10" x14ac:dyDescent="0.2">
      <c r="A739">
        <v>738</v>
      </c>
      <c r="B739" s="2" t="s">
        <v>17</v>
      </c>
      <c r="C739" s="2" t="s">
        <v>13</v>
      </c>
      <c r="D739">
        <v>5980</v>
      </c>
      <c r="E739">
        <v>10</v>
      </c>
      <c r="F739">
        <v>2005</v>
      </c>
      <c r="G739">
        <v>0</v>
      </c>
      <c r="H739">
        <v>0</v>
      </c>
      <c r="I739">
        <v>0</v>
      </c>
      <c r="J739" s="2" t="s">
        <v>15</v>
      </c>
    </row>
    <row r="740" spans="1:10" x14ac:dyDescent="0.2">
      <c r="A740">
        <v>739</v>
      </c>
      <c r="B740" s="2" t="s">
        <v>17</v>
      </c>
      <c r="C740" s="2" t="s">
        <v>13</v>
      </c>
      <c r="D740">
        <v>2770</v>
      </c>
      <c r="E740">
        <v>6</v>
      </c>
      <c r="F740">
        <v>2008</v>
      </c>
      <c r="G740">
        <v>1</v>
      </c>
      <c r="H740">
        <v>22</v>
      </c>
      <c r="I740">
        <v>2011</v>
      </c>
      <c r="J740" s="2" t="s">
        <v>16</v>
      </c>
    </row>
    <row r="741" spans="1:10" x14ac:dyDescent="0.2">
      <c r="A741">
        <v>740</v>
      </c>
      <c r="B741" s="2" t="s">
        <v>17</v>
      </c>
      <c r="C741" s="2" t="s">
        <v>14</v>
      </c>
      <c r="D741">
        <v>6400</v>
      </c>
      <c r="E741">
        <v>3</v>
      </c>
      <c r="F741">
        <v>2014</v>
      </c>
      <c r="G741">
        <v>0</v>
      </c>
      <c r="H741">
        <v>0</v>
      </c>
      <c r="I741">
        <v>0</v>
      </c>
      <c r="J741" s="2" t="s">
        <v>15</v>
      </c>
    </row>
    <row r="742" spans="1:10" x14ac:dyDescent="0.2">
      <c r="A742">
        <v>741</v>
      </c>
      <c r="B742" s="2" t="s">
        <v>17</v>
      </c>
      <c r="C742" s="2" t="s">
        <v>13</v>
      </c>
      <c r="D742">
        <v>11900</v>
      </c>
      <c r="G742">
        <v>0</v>
      </c>
      <c r="H742">
        <v>0</v>
      </c>
      <c r="I742">
        <v>0</v>
      </c>
      <c r="J742" s="2" t="s">
        <v>15</v>
      </c>
    </row>
    <row r="743" spans="1:10" x14ac:dyDescent="0.2">
      <c r="A743">
        <v>742</v>
      </c>
      <c r="B743" s="2" t="s">
        <v>17</v>
      </c>
      <c r="C743" s="2" t="s">
        <v>13</v>
      </c>
      <c r="D743">
        <v>4380</v>
      </c>
      <c r="G743">
        <v>0</v>
      </c>
      <c r="H743">
        <v>0</v>
      </c>
      <c r="I743">
        <v>0</v>
      </c>
      <c r="J743" s="2" t="s">
        <v>15</v>
      </c>
    </row>
    <row r="744" spans="1:10" x14ac:dyDescent="0.2">
      <c r="A744">
        <v>743</v>
      </c>
      <c r="B744" s="2" t="s">
        <v>14</v>
      </c>
      <c r="C744" s="2" t="s">
        <v>14</v>
      </c>
      <c r="D744">
        <v>6710</v>
      </c>
      <c r="E744">
        <v>11</v>
      </c>
      <c r="F744">
        <v>2003</v>
      </c>
      <c r="G744">
        <v>1</v>
      </c>
      <c r="H744">
        <v>14</v>
      </c>
      <c r="I744">
        <v>2012</v>
      </c>
      <c r="J744" s="2" t="s">
        <v>16</v>
      </c>
    </row>
    <row r="745" spans="1:10" x14ac:dyDescent="0.2">
      <c r="A745">
        <v>744</v>
      </c>
      <c r="B745" s="2" t="s">
        <v>14</v>
      </c>
      <c r="C745" s="2" t="s">
        <v>14</v>
      </c>
      <c r="D745">
        <v>1370</v>
      </c>
      <c r="E745">
        <v>12</v>
      </c>
      <c r="F745">
        <v>2011</v>
      </c>
      <c r="G745">
        <v>1</v>
      </c>
      <c r="H745">
        <v>40</v>
      </c>
      <c r="I745">
        <v>2014</v>
      </c>
      <c r="J745" s="2" t="s">
        <v>16</v>
      </c>
    </row>
    <row r="746" spans="1:10" x14ac:dyDescent="0.2">
      <c r="A746">
        <v>745</v>
      </c>
      <c r="B746" s="2" t="s">
        <v>14</v>
      </c>
      <c r="C746" s="2" t="s">
        <v>14</v>
      </c>
      <c r="D746">
        <v>17650</v>
      </c>
      <c r="E746">
        <v>11</v>
      </c>
      <c r="F746">
        <v>2013</v>
      </c>
      <c r="G746">
        <v>1</v>
      </c>
      <c r="H746">
        <v>37</v>
      </c>
      <c r="I746">
        <v>2009</v>
      </c>
      <c r="J746" s="2" t="s">
        <v>16</v>
      </c>
    </row>
    <row r="747" spans="1:10" x14ac:dyDescent="0.2">
      <c r="A747">
        <v>746</v>
      </c>
      <c r="B747" s="2" t="s">
        <v>17</v>
      </c>
      <c r="C747" s="2" t="s">
        <v>13</v>
      </c>
      <c r="D747">
        <v>4330</v>
      </c>
      <c r="E747">
        <v>2</v>
      </c>
      <c r="F747">
        <v>2011</v>
      </c>
      <c r="G747">
        <v>1</v>
      </c>
      <c r="H747">
        <v>35</v>
      </c>
      <c r="I747">
        <v>2011</v>
      </c>
      <c r="J747" s="2" t="s">
        <v>19</v>
      </c>
    </row>
    <row r="748" spans="1:10" x14ac:dyDescent="0.2">
      <c r="A748">
        <v>747</v>
      </c>
      <c r="B748" s="2" t="s">
        <v>13</v>
      </c>
      <c r="C748" s="2" t="s">
        <v>13</v>
      </c>
      <c r="D748">
        <v>45740</v>
      </c>
      <c r="E748">
        <v>8</v>
      </c>
      <c r="F748">
        <v>2008</v>
      </c>
      <c r="G748">
        <v>0</v>
      </c>
      <c r="H748">
        <v>0</v>
      </c>
      <c r="I748">
        <v>0</v>
      </c>
      <c r="J748" s="2" t="s">
        <v>15</v>
      </c>
    </row>
    <row r="749" spans="1:10" x14ac:dyDescent="0.2">
      <c r="A749">
        <v>748</v>
      </c>
      <c r="B749" s="2" t="s">
        <v>17</v>
      </c>
      <c r="C749" s="2" t="s">
        <v>14</v>
      </c>
      <c r="D749">
        <v>2380</v>
      </c>
      <c r="E749">
        <v>3</v>
      </c>
      <c r="F749">
        <v>2010</v>
      </c>
      <c r="G749">
        <v>1</v>
      </c>
      <c r="H749">
        <v>14</v>
      </c>
      <c r="I749">
        <v>2011</v>
      </c>
      <c r="J749" s="2" t="s">
        <v>16</v>
      </c>
    </row>
    <row r="750" spans="1:10" x14ac:dyDescent="0.2">
      <c r="A750">
        <v>749</v>
      </c>
      <c r="B750" s="2" t="s">
        <v>14</v>
      </c>
      <c r="C750" s="2" t="s">
        <v>14</v>
      </c>
      <c r="D750">
        <v>3410</v>
      </c>
      <c r="E750">
        <v>8</v>
      </c>
      <c r="F750">
        <v>2011</v>
      </c>
      <c r="G750">
        <v>1</v>
      </c>
      <c r="H750">
        <v>14</v>
      </c>
      <c r="I750">
        <v>2015</v>
      </c>
      <c r="J750" s="2" t="s">
        <v>16</v>
      </c>
    </row>
    <row r="751" spans="1:10" x14ac:dyDescent="0.2">
      <c r="A751">
        <v>750</v>
      </c>
      <c r="B751" s="2" t="s">
        <v>17</v>
      </c>
      <c r="C751" s="2" t="s">
        <v>14</v>
      </c>
      <c r="D751">
        <v>8670</v>
      </c>
      <c r="E751">
        <v>2</v>
      </c>
      <c r="F751">
        <v>2002</v>
      </c>
      <c r="G751">
        <v>1</v>
      </c>
      <c r="H751">
        <v>14</v>
      </c>
      <c r="I751">
        <v>2011</v>
      </c>
      <c r="J751" s="2" t="s">
        <v>16</v>
      </c>
    </row>
    <row r="752" spans="1:10" x14ac:dyDescent="0.2">
      <c r="A752">
        <v>751</v>
      </c>
      <c r="B752" s="2" t="s">
        <v>14</v>
      </c>
      <c r="C752" s="2" t="s">
        <v>14</v>
      </c>
      <c r="D752">
        <v>650</v>
      </c>
      <c r="E752">
        <v>10</v>
      </c>
      <c r="F752">
        <v>2006</v>
      </c>
      <c r="G752">
        <v>0</v>
      </c>
      <c r="H752">
        <v>0</v>
      </c>
      <c r="I752">
        <v>0</v>
      </c>
      <c r="J752" s="2" t="s">
        <v>15</v>
      </c>
    </row>
    <row r="753" spans="1:10" x14ac:dyDescent="0.2">
      <c r="A753">
        <v>752</v>
      </c>
      <c r="B753" s="2" t="s">
        <v>14</v>
      </c>
      <c r="C753" s="2" t="s">
        <v>14</v>
      </c>
      <c r="D753">
        <v>970</v>
      </c>
      <c r="E753">
        <v>3</v>
      </c>
      <c r="F753">
        <v>2013</v>
      </c>
      <c r="G753">
        <v>1</v>
      </c>
      <c r="H753">
        <v>31</v>
      </c>
      <c r="I753">
        <v>2013</v>
      </c>
      <c r="J753" s="2" t="s">
        <v>18</v>
      </c>
    </row>
    <row r="754" spans="1:10" x14ac:dyDescent="0.2">
      <c r="A754">
        <v>753</v>
      </c>
      <c r="B754" s="2" t="s">
        <v>17</v>
      </c>
      <c r="C754" s="2" t="s">
        <v>13</v>
      </c>
      <c r="D754">
        <v>540</v>
      </c>
      <c r="E754">
        <v>11</v>
      </c>
      <c r="F754">
        <v>2012</v>
      </c>
      <c r="G754">
        <v>1</v>
      </c>
      <c r="H754">
        <v>35</v>
      </c>
      <c r="I754">
        <v>2010</v>
      </c>
      <c r="J754" s="2" t="s">
        <v>19</v>
      </c>
    </row>
    <row r="755" spans="1:10" x14ac:dyDescent="0.2">
      <c r="A755">
        <v>754</v>
      </c>
      <c r="B755" s="2" t="s">
        <v>13</v>
      </c>
      <c r="C755" s="2" t="s">
        <v>13</v>
      </c>
      <c r="D755">
        <v>380</v>
      </c>
      <c r="E755">
        <v>5</v>
      </c>
      <c r="F755">
        <v>2008</v>
      </c>
      <c r="G755">
        <v>1</v>
      </c>
      <c r="H755">
        <v>10</v>
      </c>
      <c r="I755">
        <v>2014</v>
      </c>
      <c r="J755" s="2" t="s">
        <v>19</v>
      </c>
    </row>
    <row r="756" spans="1:10" x14ac:dyDescent="0.2">
      <c r="A756">
        <v>755</v>
      </c>
      <c r="B756" s="2" t="s">
        <v>17</v>
      </c>
      <c r="C756" s="2" t="s">
        <v>13</v>
      </c>
      <c r="D756">
        <v>13130</v>
      </c>
      <c r="E756">
        <v>12</v>
      </c>
      <c r="F756">
        <v>2003</v>
      </c>
      <c r="G756">
        <v>0</v>
      </c>
      <c r="H756">
        <v>0</v>
      </c>
      <c r="I756">
        <v>0</v>
      </c>
      <c r="J756" s="2" t="s">
        <v>15</v>
      </c>
    </row>
    <row r="757" spans="1:10" x14ac:dyDescent="0.2">
      <c r="A757">
        <v>756</v>
      </c>
      <c r="B757" s="2" t="s">
        <v>14</v>
      </c>
      <c r="C757" s="2" t="s">
        <v>13</v>
      </c>
      <c r="D757">
        <v>50</v>
      </c>
      <c r="G757">
        <v>1</v>
      </c>
      <c r="H757">
        <v>40</v>
      </c>
      <c r="I757">
        <v>2011</v>
      </c>
      <c r="J757" s="2" t="s">
        <v>16</v>
      </c>
    </row>
    <row r="758" spans="1:10" x14ac:dyDescent="0.2">
      <c r="A758">
        <v>757</v>
      </c>
      <c r="B758" s="2" t="s">
        <v>14</v>
      </c>
      <c r="C758" s="2" t="s">
        <v>13</v>
      </c>
      <c r="D758">
        <v>3450</v>
      </c>
      <c r="G758">
        <v>0</v>
      </c>
      <c r="H758">
        <v>0</v>
      </c>
      <c r="I758">
        <v>0</v>
      </c>
      <c r="J758" s="2" t="s">
        <v>15</v>
      </c>
    </row>
    <row r="759" spans="1:10" x14ac:dyDescent="0.2">
      <c r="A759">
        <v>758</v>
      </c>
      <c r="B759" s="2" t="s">
        <v>14</v>
      </c>
      <c r="C759" s="2" t="s">
        <v>13</v>
      </c>
      <c r="D759">
        <v>19780</v>
      </c>
      <c r="E759">
        <v>6</v>
      </c>
      <c r="F759">
        <v>2008</v>
      </c>
      <c r="G759">
        <v>0</v>
      </c>
      <c r="H759">
        <v>0</v>
      </c>
      <c r="I759">
        <v>0</v>
      </c>
      <c r="J759" s="2" t="s">
        <v>15</v>
      </c>
    </row>
    <row r="760" spans="1:10" x14ac:dyDescent="0.2">
      <c r="A760">
        <v>759</v>
      </c>
      <c r="B760" s="2" t="s">
        <v>14</v>
      </c>
      <c r="C760" s="2" t="s">
        <v>14</v>
      </c>
      <c r="D760">
        <v>110</v>
      </c>
      <c r="E760">
        <v>11</v>
      </c>
      <c r="F760">
        <v>2012</v>
      </c>
      <c r="G760">
        <v>1</v>
      </c>
      <c r="H760">
        <v>31</v>
      </c>
      <c r="I760">
        <v>2013</v>
      </c>
      <c r="J760" s="2" t="s">
        <v>18</v>
      </c>
    </row>
    <row r="761" spans="1:10" x14ac:dyDescent="0.2">
      <c r="A761">
        <v>760</v>
      </c>
      <c r="B761" s="2" t="s">
        <v>14</v>
      </c>
      <c r="C761" s="2" t="s">
        <v>14</v>
      </c>
      <c r="D761">
        <v>560</v>
      </c>
      <c r="E761">
        <v>1</v>
      </c>
      <c r="F761">
        <v>2011</v>
      </c>
      <c r="G761">
        <v>0</v>
      </c>
      <c r="H761">
        <v>0</v>
      </c>
      <c r="I761">
        <v>0</v>
      </c>
      <c r="J761" s="2" t="s">
        <v>15</v>
      </c>
    </row>
    <row r="762" spans="1:10" x14ac:dyDescent="0.2">
      <c r="A762">
        <v>761</v>
      </c>
      <c r="B762" s="2" t="s">
        <v>14</v>
      </c>
      <c r="C762" s="2" t="s">
        <v>14</v>
      </c>
      <c r="D762">
        <v>2390</v>
      </c>
      <c r="E762">
        <v>9</v>
      </c>
      <c r="F762">
        <v>2012</v>
      </c>
      <c r="G762">
        <v>0</v>
      </c>
      <c r="H762">
        <v>0</v>
      </c>
      <c r="I762">
        <v>0</v>
      </c>
      <c r="J762" s="2" t="s">
        <v>15</v>
      </c>
    </row>
    <row r="763" spans="1:10" x14ac:dyDescent="0.2">
      <c r="A763">
        <v>762</v>
      </c>
      <c r="B763" s="2" t="s">
        <v>17</v>
      </c>
      <c r="C763" s="2" t="s">
        <v>13</v>
      </c>
      <c r="D763">
        <v>1280</v>
      </c>
      <c r="G763">
        <v>1</v>
      </c>
      <c r="H763">
        <v>10</v>
      </c>
      <c r="I763">
        <v>2013</v>
      </c>
      <c r="J763" s="2" t="s">
        <v>19</v>
      </c>
    </row>
    <row r="764" spans="1:10" x14ac:dyDescent="0.2">
      <c r="A764">
        <v>763</v>
      </c>
      <c r="B764" s="2" t="s">
        <v>17</v>
      </c>
      <c r="C764" s="2" t="s">
        <v>13</v>
      </c>
      <c r="D764">
        <v>32240</v>
      </c>
      <c r="E764">
        <v>3</v>
      </c>
      <c r="F764">
        <v>2010</v>
      </c>
      <c r="G764">
        <v>0</v>
      </c>
      <c r="H764">
        <v>0</v>
      </c>
      <c r="I764">
        <v>0</v>
      </c>
      <c r="J764" s="2" t="s">
        <v>15</v>
      </c>
    </row>
    <row r="765" spans="1:10" x14ac:dyDescent="0.2">
      <c r="A765">
        <v>764</v>
      </c>
      <c r="B765" s="2" t="s">
        <v>14</v>
      </c>
      <c r="C765" s="2" t="s">
        <v>13</v>
      </c>
      <c r="D765">
        <v>26490</v>
      </c>
      <c r="G765">
        <v>1</v>
      </c>
      <c r="H765">
        <v>10</v>
      </c>
      <c r="I765">
        <v>2014</v>
      </c>
      <c r="J765" s="2" t="s">
        <v>19</v>
      </c>
    </row>
    <row r="766" spans="1:10" x14ac:dyDescent="0.2">
      <c r="A766">
        <v>765</v>
      </c>
      <c r="B766" s="2" t="s">
        <v>14</v>
      </c>
      <c r="C766" s="2" t="s">
        <v>13</v>
      </c>
      <c r="D766">
        <v>25430</v>
      </c>
      <c r="E766">
        <v>5</v>
      </c>
      <c r="F766">
        <v>1999</v>
      </c>
      <c r="G766">
        <v>1</v>
      </c>
      <c r="H766">
        <v>37</v>
      </c>
      <c r="I766">
        <v>2009</v>
      </c>
      <c r="J766" s="2" t="s">
        <v>16</v>
      </c>
    </row>
    <row r="767" spans="1:10" x14ac:dyDescent="0.2">
      <c r="A767">
        <v>766</v>
      </c>
      <c r="B767" s="2" t="s">
        <v>17</v>
      </c>
      <c r="C767" s="2" t="s">
        <v>13</v>
      </c>
      <c r="D767">
        <v>9820</v>
      </c>
      <c r="G767">
        <v>0</v>
      </c>
      <c r="H767">
        <v>0</v>
      </c>
      <c r="I767">
        <v>0</v>
      </c>
      <c r="J767" s="2" t="s">
        <v>15</v>
      </c>
    </row>
    <row r="768" spans="1:10" x14ac:dyDescent="0.2">
      <c r="A768">
        <v>767</v>
      </c>
      <c r="B768" s="2" t="s">
        <v>14</v>
      </c>
      <c r="C768" s="2" t="s">
        <v>13</v>
      </c>
      <c r="D768">
        <v>13080</v>
      </c>
      <c r="G768">
        <v>0</v>
      </c>
      <c r="H768">
        <v>0</v>
      </c>
      <c r="I768">
        <v>0</v>
      </c>
      <c r="J768" s="2" t="s">
        <v>15</v>
      </c>
    </row>
    <row r="769" spans="1:10" x14ac:dyDescent="0.2">
      <c r="A769">
        <v>768</v>
      </c>
      <c r="B769" s="2" t="s">
        <v>14</v>
      </c>
      <c r="C769" s="2" t="s">
        <v>13</v>
      </c>
      <c r="D769">
        <v>2630</v>
      </c>
      <c r="E769">
        <v>9</v>
      </c>
      <c r="F769">
        <v>2012</v>
      </c>
      <c r="G769">
        <v>0</v>
      </c>
      <c r="H769">
        <v>0</v>
      </c>
      <c r="I769">
        <v>0</v>
      </c>
      <c r="J769" s="2" t="s">
        <v>15</v>
      </c>
    </row>
    <row r="770" spans="1:10" x14ac:dyDescent="0.2">
      <c r="A770">
        <v>769</v>
      </c>
      <c r="B770" s="2" t="s">
        <v>20</v>
      </c>
      <c r="C770" s="2" t="s">
        <v>20</v>
      </c>
      <c r="D770">
        <v>840</v>
      </c>
      <c r="G770">
        <v>1</v>
      </c>
      <c r="H770">
        <v>48</v>
      </c>
      <c r="I770">
        <v>2012</v>
      </c>
      <c r="J770" s="2" t="s">
        <v>16</v>
      </c>
    </row>
    <row r="771" spans="1:10" x14ac:dyDescent="0.2">
      <c r="A771">
        <v>770</v>
      </c>
      <c r="B771" s="2" t="s">
        <v>14</v>
      </c>
      <c r="C771" s="2" t="s">
        <v>13</v>
      </c>
      <c r="D771">
        <v>100</v>
      </c>
      <c r="E771">
        <v>4</v>
      </c>
      <c r="F771">
        <v>2015</v>
      </c>
      <c r="G771">
        <v>0</v>
      </c>
      <c r="H771">
        <v>0</v>
      </c>
      <c r="I771">
        <v>0</v>
      </c>
      <c r="J771" s="2" t="s">
        <v>15</v>
      </c>
    </row>
    <row r="772" spans="1:10" x14ac:dyDescent="0.2">
      <c r="A772">
        <v>771</v>
      </c>
      <c r="B772" s="2" t="s">
        <v>14</v>
      </c>
      <c r="C772" s="2" t="s">
        <v>14</v>
      </c>
      <c r="D772">
        <v>20640</v>
      </c>
      <c r="E772">
        <v>9</v>
      </c>
      <c r="F772">
        <v>2007</v>
      </c>
      <c r="G772">
        <v>0</v>
      </c>
      <c r="H772">
        <v>0</v>
      </c>
      <c r="I772">
        <v>0</v>
      </c>
      <c r="J772" s="2" t="s">
        <v>15</v>
      </c>
    </row>
    <row r="773" spans="1:10" x14ac:dyDescent="0.2">
      <c r="A773">
        <v>772</v>
      </c>
      <c r="B773" s="2" t="s">
        <v>17</v>
      </c>
      <c r="C773" s="2" t="s">
        <v>13</v>
      </c>
      <c r="D773">
        <v>1850</v>
      </c>
      <c r="G773">
        <v>0</v>
      </c>
      <c r="H773">
        <v>0</v>
      </c>
      <c r="I773">
        <v>0</v>
      </c>
      <c r="J773" s="2" t="s">
        <v>15</v>
      </c>
    </row>
    <row r="774" spans="1:10" x14ac:dyDescent="0.2">
      <c r="A774">
        <v>773</v>
      </c>
      <c r="B774" s="2" t="s">
        <v>14</v>
      </c>
      <c r="C774" s="2" t="s">
        <v>14</v>
      </c>
      <c r="D774">
        <v>200</v>
      </c>
      <c r="G774">
        <v>0</v>
      </c>
      <c r="H774">
        <v>0</v>
      </c>
      <c r="I774">
        <v>0</v>
      </c>
      <c r="J774" s="2" t="s">
        <v>15</v>
      </c>
    </row>
    <row r="775" spans="1:10" x14ac:dyDescent="0.2">
      <c r="A775">
        <v>774</v>
      </c>
      <c r="B775" s="2" t="s">
        <v>14</v>
      </c>
      <c r="C775" s="2" t="s">
        <v>13</v>
      </c>
      <c r="D775">
        <v>640</v>
      </c>
      <c r="E775">
        <v>9</v>
      </c>
      <c r="F775">
        <v>2013</v>
      </c>
      <c r="G775">
        <v>0</v>
      </c>
      <c r="H775">
        <v>0</v>
      </c>
      <c r="I775">
        <v>0</v>
      </c>
      <c r="J775" s="2" t="s">
        <v>15</v>
      </c>
    </row>
    <row r="776" spans="1:10" x14ac:dyDescent="0.2">
      <c r="A776">
        <v>775</v>
      </c>
      <c r="B776" s="2" t="s">
        <v>17</v>
      </c>
      <c r="C776" s="2" t="s">
        <v>13</v>
      </c>
      <c r="D776">
        <v>6970</v>
      </c>
      <c r="E776">
        <v>12</v>
      </c>
      <c r="F776">
        <v>2005</v>
      </c>
      <c r="G776">
        <v>1</v>
      </c>
      <c r="H776">
        <v>22</v>
      </c>
      <c r="I776">
        <v>2011</v>
      </c>
      <c r="J776" s="2" t="s">
        <v>16</v>
      </c>
    </row>
    <row r="777" spans="1:10" x14ac:dyDescent="0.2">
      <c r="A777">
        <v>776</v>
      </c>
      <c r="B777" s="2" t="s">
        <v>13</v>
      </c>
      <c r="C777" s="2" t="s">
        <v>14</v>
      </c>
      <c r="D777">
        <v>700</v>
      </c>
      <c r="E777">
        <v>4</v>
      </c>
      <c r="F777">
        <v>2009</v>
      </c>
      <c r="G777">
        <v>1</v>
      </c>
      <c r="H777">
        <v>14</v>
      </c>
      <c r="I777">
        <v>2011</v>
      </c>
      <c r="J777" s="2" t="s">
        <v>16</v>
      </c>
    </row>
    <row r="778" spans="1:10" x14ac:dyDescent="0.2">
      <c r="A778">
        <v>777</v>
      </c>
      <c r="B778" s="2" t="s">
        <v>17</v>
      </c>
      <c r="C778" s="2" t="s">
        <v>13</v>
      </c>
      <c r="D778">
        <v>8250</v>
      </c>
      <c r="E778">
        <v>10</v>
      </c>
      <c r="F778">
        <v>2004</v>
      </c>
      <c r="G778">
        <v>1</v>
      </c>
      <c r="H778">
        <v>10</v>
      </c>
      <c r="I778">
        <v>2013</v>
      </c>
      <c r="J778" s="2" t="s">
        <v>19</v>
      </c>
    </row>
    <row r="779" spans="1:10" x14ac:dyDescent="0.2">
      <c r="A779">
        <v>778</v>
      </c>
      <c r="B779" s="2" t="s">
        <v>14</v>
      </c>
      <c r="C779" s="2" t="s">
        <v>14</v>
      </c>
      <c r="D779">
        <v>340</v>
      </c>
      <c r="E779">
        <v>6</v>
      </c>
      <c r="F779">
        <v>2003</v>
      </c>
      <c r="G779">
        <v>1</v>
      </c>
      <c r="H779">
        <v>40</v>
      </c>
      <c r="I779">
        <v>2014</v>
      </c>
      <c r="J779" s="2" t="s">
        <v>16</v>
      </c>
    </row>
    <row r="780" spans="1:10" x14ac:dyDescent="0.2">
      <c r="A780">
        <v>779</v>
      </c>
      <c r="B780" s="2" t="s">
        <v>14</v>
      </c>
      <c r="C780" s="2" t="s">
        <v>14</v>
      </c>
      <c r="D780">
        <v>16990</v>
      </c>
      <c r="E780">
        <v>4</v>
      </c>
      <c r="F780">
        <v>2004</v>
      </c>
      <c r="G780">
        <v>0</v>
      </c>
      <c r="H780">
        <v>0</v>
      </c>
      <c r="I780">
        <v>0</v>
      </c>
      <c r="J780" s="2" t="s">
        <v>15</v>
      </c>
    </row>
    <row r="781" spans="1:10" x14ac:dyDescent="0.2">
      <c r="A781">
        <v>780</v>
      </c>
      <c r="B781" s="2" t="s">
        <v>14</v>
      </c>
      <c r="C781" s="2" t="s">
        <v>14</v>
      </c>
      <c r="D781">
        <v>18160</v>
      </c>
      <c r="G781">
        <v>0</v>
      </c>
      <c r="H781">
        <v>0</v>
      </c>
      <c r="I781">
        <v>0</v>
      </c>
      <c r="J781" s="2" t="s">
        <v>15</v>
      </c>
    </row>
    <row r="782" spans="1:10" x14ac:dyDescent="0.2">
      <c r="A782">
        <v>781</v>
      </c>
      <c r="B782" s="2" t="s">
        <v>14</v>
      </c>
      <c r="C782" s="2" t="s">
        <v>14</v>
      </c>
      <c r="D782">
        <v>630</v>
      </c>
      <c r="E782">
        <v>4</v>
      </c>
      <c r="F782">
        <v>2007</v>
      </c>
      <c r="G782">
        <v>0</v>
      </c>
      <c r="H782">
        <v>0</v>
      </c>
      <c r="I782">
        <v>0</v>
      </c>
      <c r="J782" s="2" t="s">
        <v>15</v>
      </c>
    </row>
    <row r="783" spans="1:10" x14ac:dyDescent="0.2">
      <c r="A783">
        <v>782</v>
      </c>
      <c r="B783" s="2" t="s">
        <v>13</v>
      </c>
      <c r="C783" s="2" t="s">
        <v>13</v>
      </c>
      <c r="D783">
        <v>5390</v>
      </c>
      <c r="E783">
        <v>8</v>
      </c>
      <c r="F783">
        <v>2003</v>
      </c>
      <c r="G783">
        <v>1</v>
      </c>
      <c r="H783">
        <v>1</v>
      </c>
      <c r="I783">
        <v>2012</v>
      </c>
      <c r="J783" s="2" t="s">
        <v>16</v>
      </c>
    </row>
    <row r="784" spans="1:10" x14ac:dyDescent="0.2">
      <c r="A784">
        <v>783</v>
      </c>
      <c r="B784" s="2" t="s">
        <v>17</v>
      </c>
      <c r="C784" s="2" t="s">
        <v>13</v>
      </c>
      <c r="D784">
        <v>15490</v>
      </c>
      <c r="G784">
        <v>0</v>
      </c>
      <c r="H784">
        <v>0</v>
      </c>
      <c r="I784">
        <v>0</v>
      </c>
      <c r="J784" s="2" t="s">
        <v>15</v>
      </c>
    </row>
    <row r="785" spans="1:10" x14ac:dyDescent="0.2">
      <c r="A785">
        <v>784</v>
      </c>
      <c r="B785" s="2" t="s">
        <v>14</v>
      </c>
      <c r="C785" s="2" t="s">
        <v>14</v>
      </c>
      <c r="D785">
        <v>560</v>
      </c>
      <c r="E785">
        <v>10</v>
      </c>
      <c r="F785">
        <v>2014</v>
      </c>
      <c r="G785">
        <v>1</v>
      </c>
      <c r="H785">
        <v>10</v>
      </c>
      <c r="I785">
        <v>2014</v>
      </c>
      <c r="J785" s="2" t="s">
        <v>16</v>
      </c>
    </row>
    <row r="786" spans="1:10" x14ac:dyDescent="0.2">
      <c r="A786">
        <v>785</v>
      </c>
      <c r="B786" s="2" t="s">
        <v>17</v>
      </c>
      <c r="C786" s="2" t="s">
        <v>13</v>
      </c>
      <c r="D786">
        <v>970</v>
      </c>
      <c r="E786">
        <v>7</v>
      </c>
      <c r="F786">
        <v>2005</v>
      </c>
      <c r="G786">
        <v>1</v>
      </c>
      <c r="H786">
        <v>31</v>
      </c>
      <c r="I786">
        <v>2013</v>
      </c>
      <c r="J786" s="2" t="s">
        <v>18</v>
      </c>
    </row>
    <row r="787" spans="1:10" x14ac:dyDescent="0.2">
      <c r="A787">
        <v>786</v>
      </c>
      <c r="B787" s="2" t="s">
        <v>14</v>
      </c>
      <c r="C787" s="2" t="s">
        <v>14</v>
      </c>
      <c r="D787">
        <v>290</v>
      </c>
      <c r="E787">
        <v>11</v>
      </c>
      <c r="F787">
        <v>2006</v>
      </c>
      <c r="G787">
        <v>1</v>
      </c>
      <c r="H787">
        <v>5</v>
      </c>
      <c r="I787">
        <v>2013</v>
      </c>
      <c r="J787" s="2" t="s">
        <v>18</v>
      </c>
    </row>
    <row r="788" spans="1:10" x14ac:dyDescent="0.2">
      <c r="A788">
        <v>787</v>
      </c>
      <c r="B788" s="2" t="s">
        <v>13</v>
      </c>
      <c r="C788" s="2" t="s">
        <v>13</v>
      </c>
      <c r="D788">
        <v>3210</v>
      </c>
      <c r="E788">
        <v>6</v>
      </c>
      <c r="F788">
        <v>2009</v>
      </c>
      <c r="G788">
        <v>0</v>
      </c>
      <c r="H788">
        <v>0</v>
      </c>
      <c r="I788">
        <v>0</v>
      </c>
      <c r="J788" s="2" t="s">
        <v>15</v>
      </c>
    </row>
    <row r="789" spans="1:10" x14ac:dyDescent="0.2">
      <c r="A789">
        <v>788</v>
      </c>
      <c r="B789" s="2" t="s">
        <v>14</v>
      </c>
      <c r="C789" s="2" t="s">
        <v>13</v>
      </c>
      <c r="D789">
        <v>1530</v>
      </c>
      <c r="E789">
        <v>3</v>
      </c>
      <c r="F789">
        <v>2013</v>
      </c>
      <c r="G789">
        <v>0</v>
      </c>
      <c r="H789">
        <v>0</v>
      </c>
      <c r="I789">
        <v>0</v>
      </c>
      <c r="J789" s="2" t="s">
        <v>15</v>
      </c>
    </row>
    <row r="790" spans="1:10" x14ac:dyDescent="0.2">
      <c r="A790">
        <v>789</v>
      </c>
      <c r="B790" s="2" t="s">
        <v>14</v>
      </c>
      <c r="C790" s="2" t="s">
        <v>13</v>
      </c>
      <c r="D790">
        <v>9770</v>
      </c>
      <c r="E790">
        <v>7</v>
      </c>
      <c r="F790">
        <v>2003</v>
      </c>
      <c r="G790">
        <v>0</v>
      </c>
      <c r="H790">
        <v>0</v>
      </c>
      <c r="I790">
        <v>0</v>
      </c>
      <c r="J790" s="2" t="s">
        <v>15</v>
      </c>
    </row>
    <row r="791" spans="1:10" x14ac:dyDescent="0.2">
      <c r="A791">
        <v>790</v>
      </c>
      <c r="B791" s="2" t="s">
        <v>17</v>
      </c>
      <c r="C791" s="2" t="s">
        <v>13</v>
      </c>
      <c r="D791">
        <v>9070</v>
      </c>
      <c r="E791">
        <v>12</v>
      </c>
      <c r="F791">
        <v>2003</v>
      </c>
      <c r="G791">
        <v>0</v>
      </c>
      <c r="H791">
        <v>0</v>
      </c>
      <c r="I791">
        <v>0</v>
      </c>
      <c r="J791" s="2" t="s">
        <v>15</v>
      </c>
    </row>
    <row r="792" spans="1:10" x14ac:dyDescent="0.2">
      <c r="A792">
        <v>791</v>
      </c>
      <c r="B792" s="2" t="s">
        <v>14</v>
      </c>
      <c r="C792" s="2" t="s">
        <v>14</v>
      </c>
      <c r="D792">
        <v>5950</v>
      </c>
      <c r="E792">
        <v>4</v>
      </c>
      <c r="F792">
        <v>2007</v>
      </c>
      <c r="G792">
        <v>0</v>
      </c>
      <c r="H792">
        <v>0</v>
      </c>
      <c r="I792">
        <v>0</v>
      </c>
      <c r="J792" s="2" t="s">
        <v>15</v>
      </c>
    </row>
    <row r="793" spans="1:10" x14ac:dyDescent="0.2">
      <c r="A793">
        <v>792</v>
      </c>
      <c r="B793" s="2" t="s">
        <v>17</v>
      </c>
      <c r="C793" s="2" t="s">
        <v>14</v>
      </c>
      <c r="D793">
        <v>17280</v>
      </c>
      <c r="E793">
        <v>10</v>
      </c>
      <c r="F793">
        <v>2009</v>
      </c>
      <c r="G793">
        <v>1</v>
      </c>
      <c r="H793">
        <v>18</v>
      </c>
      <c r="I793">
        <v>2011</v>
      </c>
      <c r="J793" s="2" t="s">
        <v>18</v>
      </c>
    </row>
    <row r="794" spans="1:10" x14ac:dyDescent="0.2">
      <c r="A794">
        <v>793</v>
      </c>
      <c r="B794" s="2" t="s">
        <v>17</v>
      </c>
      <c r="C794" s="2" t="s">
        <v>14</v>
      </c>
      <c r="D794">
        <v>2710</v>
      </c>
      <c r="E794">
        <v>7</v>
      </c>
      <c r="F794">
        <v>2006</v>
      </c>
      <c r="G794">
        <v>0</v>
      </c>
      <c r="H794">
        <v>0</v>
      </c>
      <c r="I794">
        <v>0</v>
      </c>
      <c r="J794" s="2" t="s">
        <v>15</v>
      </c>
    </row>
    <row r="795" spans="1:10" x14ac:dyDescent="0.2">
      <c r="A795">
        <v>794</v>
      </c>
      <c r="B795" s="2" t="s">
        <v>13</v>
      </c>
      <c r="C795" s="2" t="s">
        <v>13</v>
      </c>
      <c r="D795">
        <v>5090</v>
      </c>
      <c r="E795">
        <v>9</v>
      </c>
      <c r="F795">
        <v>2006</v>
      </c>
      <c r="G795">
        <v>0</v>
      </c>
      <c r="H795">
        <v>0</v>
      </c>
      <c r="I795">
        <v>0</v>
      </c>
      <c r="J795" s="2" t="s">
        <v>15</v>
      </c>
    </row>
    <row r="796" spans="1:10" x14ac:dyDescent="0.2">
      <c r="A796">
        <v>795</v>
      </c>
      <c r="B796" s="2" t="s">
        <v>17</v>
      </c>
      <c r="C796" s="2" t="s">
        <v>14</v>
      </c>
      <c r="D796">
        <v>510</v>
      </c>
      <c r="G796">
        <v>1</v>
      </c>
      <c r="H796">
        <v>35</v>
      </c>
      <c r="I796">
        <v>2010</v>
      </c>
      <c r="J796" s="2" t="s">
        <v>19</v>
      </c>
    </row>
    <row r="797" spans="1:10" x14ac:dyDescent="0.2">
      <c r="A797">
        <v>796</v>
      </c>
      <c r="B797" s="2" t="s">
        <v>14</v>
      </c>
      <c r="C797" s="2" t="s">
        <v>13</v>
      </c>
      <c r="D797">
        <v>7180</v>
      </c>
      <c r="E797">
        <v>11</v>
      </c>
      <c r="F797">
        <v>2012</v>
      </c>
      <c r="G797">
        <v>0</v>
      </c>
      <c r="H797">
        <v>0</v>
      </c>
      <c r="I797">
        <v>0</v>
      </c>
      <c r="J797" s="2" t="s">
        <v>15</v>
      </c>
    </row>
    <row r="798" spans="1:10" x14ac:dyDescent="0.2">
      <c r="A798">
        <v>797</v>
      </c>
      <c r="B798" s="2" t="s">
        <v>14</v>
      </c>
      <c r="C798" s="2" t="s">
        <v>14</v>
      </c>
      <c r="D798">
        <v>2090</v>
      </c>
      <c r="E798">
        <v>10</v>
      </c>
      <c r="F798">
        <v>2012</v>
      </c>
      <c r="G798">
        <v>1</v>
      </c>
      <c r="H798">
        <v>40</v>
      </c>
      <c r="I798">
        <v>2014</v>
      </c>
      <c r="J798" s="2" t="s">
        <v>16</v>
      </c>
    </row>
    <row r="799" spans="1:10" x14ac:dyDescent="0.2">
      <c r="A799">
        <v>798</v>
      </c>
      <c r="B799" s="2" t="s">
        <v>14</v>
      </c>
      <c r="C799" s="2" t="s">
        <v>14</v>
      </c>
      <c r="D799">
        <v>9560</v>
      </c>
      <c r="E799">
        <v>4</v>
      </c>
      <c r="F799">
        <v>2001</v>
      </c>
      <c r="G799">
        <v>0</v>
      </c>
      <c r="H799">
        <v>0</v>
      </c>
      <c r="I799">
        <v>0</v>
      </c>
      <c r="J799" s="2" t="s">
        <v>15</v>
      </c>
    </row>
    <row r="800" spans="1:10" x14ac:dyDescent="0.2">
      <c r="A800">
        <v>799</v>
      </c>
      <c r="B800" s="2" t="s">
        <v>14</v>
      </c>
      <c r="C800" s="2" t="s">
        <v>13</v>
      </c>
      <c r="D800">
        <v>2700</v>
      </c>
      <c r="G800">
        <v>0</v>
      </c>
      <c r="H800">
        <v>0</v>
      </c>
      <c r="I800">
        <v>0</v>
      </c>
      <c r="J800" s="2" t="s">
        <v>15</v>
      </c>
    </row>
    <row r="801" spans="1:10" x14ac:dyDescent="0.2">
      <c r="A801">
        <v>800</v>
      </c>
      <c r="B801" s="2" t="s">
        <v>17</v>
      </c>
      <c r="C801" s="2" t="s">
        <v>14</v>
      </c>
      <c r="D801">
        <v>2020</v>
      </c>
      <c r="E801">
        <v>7</v>
      </c>
      <c r="F801">
        <v>2014</v>
      </c>
      <c r="G801">
        <v>0</v>
      </c>
      <c r="H801">
        <v>0</v>
      </c>
      <c r="I801">
        <v>0</v>
      </c>
      <c r="J801" s="2" t="s">
        <v>15</v>
      </c>
    </row>
    <row r="802" spans="1:10" x14ac:dyDescent="0.2">
      <c r="A802">
        <v>801</v>
      </c>
      <c r="B802" s="2" t="s">
        <v>17</v>
      </c>
      <c r="C802" s="2" t="s">
        <v>14</v>
      </c>
      <c r="D802">
        <v>48330</v>
      </c>
      <c r="E802">
        <v>4</v>
      </c>
      <c r="F802">
        <v>2013</v>
      </c>
      <c r="G802">
        <v>0</v>
      </c>
      <c r="H802">
        <v>0</v>
      </c>
      <c r="I802">
        <v>0</v>
      </c>
      <c r="J802" s="2" t="s">
        <v>15</v>
      </c>
    </row>
    <row r="803" spans="1:10" x14ac:dyDescent="0.2">
      <c r="A803">
        <v>802</v>
      </c>
      <c r="B803" s="2" t="s">
        <v>14</v>
      </c>
      <c r="C803" s="2" t="s">
        <v>13</v>
      </c>
      <c r="D803">
        <v>910</v>
      </c>
      <c r="G803">
        <v>1</v>
      </c>
      <c r="H803">
        <v>22</v>
      </c>
      <c r="I803">
        <v>2011</v>
      </c>
      <c r="J803" s="2" t="s">
        <v>18</v>
      </c>
    </row>
    <row r="804" spans="1:10" x14ac:dyDescent="0.2">
      <c r="A804">
        <v>803</v>
      </c>
      <c r="B804" s="2" t="s">
        <v>17</v>
      </c>
      <c r="C804" s="2" t="s">
        <v>14</v>
      </c>
      <c r="D804">
        <v>1760</v>
      </c>
      <c r="G804">
        <v>1</v>
      </c>
      <c r="H804">
        <v>10</v>
      </c>
      <c r="I804">
        <v>2014</v>
      </c>
      <c r="J804" s="2" t="s">
        <v>19</v>
      </c>
    </row>
    <row r="805" spans="1:10" x14ac:dyDescent="0.2">
      <c r="A805">
        <v>804</v>
      </c>
      <c r="B805" s="2" t="s">
        <v>13</v>
      </c>
      <c r="C805" s="2" t="s">
        <v>13</v>
      </c>
      <c r="D805">
        <v>2100</v>
      </c>
      <c r="G805">
        <v>1</v>
      </c>
      <c r="H805">
        <v>1</v>
      </c>
      <c r="I805">
        <v>2013</v>
      </c>
      <c r="J805" s="2" t="s">
        <v>16</v>
      </c>
    </row>
    <row r="806" spans="1:10" x14ac:dyDescent="0.2">
      <c r="A806">
        <v>805</v>
      </c>
      <c r="B806" s="2" t="s">
        <v>17</v>
      </c>
      <c r="C806" s="2" t="s">
        <v>14</v>
      </c>
      <c r="D806">
        <v>24770</v>
      </c>
      <c r="E806">
        <v>10</v>
      </c>
      <c r="F806">
        <v>2011</v>
      </c>
      <c r="G806">
        <v>1</v>
      </c>
      <c r="H806">
        <v>10</v>
      </c>
      <c r="I806">
        <v>2014</v>
      </c>
      <c r="J806" s="2" t="s">
        <v>19</v>
      </c>
    </row>
    <row r="807" spans="1:10" x14ac:dyDescent="0.2">
      <c r="A807">
        <v>806</v>
      </c>
      <c r="B807" s="2" t="s">
        <v>17</v>
      </c>
      <c r="C807" s="2" t="s">
        <v>14</v>
      </c>
      <c r="D807">
        <v>260</v>
      </c>
      <c r="G807">
        <v>1</v>
      </c>
      <c r="H807">
        <v>44</v>
      </c>
      <c r="I807">
        <v>2010</v>
      </c>
      <c r="J807" s="2" t="s">
        <v>18</v>
      </c>
    </row>
    <row r="808" spans="1:10" x14ac:dyDescent="0.2">
      <c r="A808">
        <v>807</v>
      </c>
      <c r="B808" s="2" t="s">
        <v>14</v>
      </c>
      <c r="C808" s="2" t="s">
        <v>14</v>
      </c>
      <c r="D808">
        <v>3870</v>
      </c>
      <c r="E808">
        <v>4</v>
      </c>
      <c r="F808">
        <v>2008</v>
      </c>
      <c r="G808">
        <v>0</v>
      </c>
      <c r="H808">
        <v>0</v>
      </c>
      <c r="I808">
        <v>0</v>
      </c>
      <c r="J808" s="2" t="s">
        <v>15</v>
      </c>
    </row>
    <row r="809" spans="1:10" x14ac:dyDescent="0.2">
      <c r="A809">
        <v>808</v>
      </c>
      <c r="B809" s="2" t="s">
        <v>14</v>
      </c>
      <c r="C809" s="2" t="s">
        <v>14</v>
      </c>
      <c r="D809">
        <v>18620</v>
      </c>
      <c r="G809">
        <v>1</v>
      </c>
      <c r="H809">
        <v>31</v>
      </c>
      <c r="I809">
        <v>2009</v>
      </c>
      <c r="J809" s="2" t="s">
        <v>18</v>
      </c>
    </row>
    <row r="810" spans="1:10" x14ac:dyDescent="0.2">
      <c r="A810">
        <v>809</v>
      </c>
      <c r="B810" s="2" t="s">
        <v>14</v>
      </c>
      <c r="C810" s="2" t="s">
        <v>14</v>
      </c>
      <c r="D810">
        <v>12770</v>
      </c>
      <c r="E810">
        <v>10</v>
      </c>
      <c r="F810">
        <v>2000</v>
      </c>
      <c r="G810">
        <v>0</v>
      </c>
      <c r="H810">
        <v>0</v>
      </c>
      <c r="I810">
        <v>0</v>
      </c>
      <c r="J810" s="2" t="s">
        <v>15</v>
      </c>
    </row>
    <row r="811" spans="1:10" x14ac:dyDescent="0.2">
      <c r="A811">
        <v>810</v>
      </c>
      <c r="B811" s="2" t="s">
        <v>17</v>
      </c>
      <c r="C811" s="2" t="s">
        <v>13</v>
      </c>
      <c r="D811">
        <v>9640</v>
      </c>
      <c r="E811">
        <v>11</v>
      </c>
      <c r="F811">
        <v>2013</v>
      </c>
      <c r="G811">
        <v>0</v>
      </c>
      <c r="H811">
        <v>0</v>
      </c>
      <c r="I811">
        <v>0</v>
      </c>
      <c r="J811" s="2" t="s">
        <v>15</v>
      </c>
    </row>
    <row r="812" spans="1:10" x14ac:dyDescent="0.2">
      <c r="A812">
        <v>811</v>
      </c>
      <c r="B812" s="2" t="s">
        <v>14</v>
      </c>
      <c r="C812" s="2" t="s">
        <v>14</v>
      </c>
      <c r="D812">
        <v>410</v>
      </c>
      <c r="E812">
        <v>9</v>
      </c>
      <c r="F812">
        <v>2012</v>
      </c>
      <c r="G812">
        <v>0</v>
      </c>
      <c r="H812">
        <v>0</v>
      </c>
      <c r="I812">
        <v>0</v>
      </c>
      <c r="J812" s="2" t="s">
        <v>15</v>
      </c>
    </row>
    <row r="813" spans="1:10" x14ac:dyDescent="0.2">
      <c r="A813">
        <v>812</v>
      </c>
      <c r="B813" s="2" t="s">
        <v>17</v>
      </c>
      <c r="C813" s="2" t="s">
        <v>14</v>
      </c>
      <c r="D813">
        <v>2590</v>
      </c>
      <c r="E813">
        <v>9</v>
      </c>
      <c r="F813">
        <v>2012</v>
      </c>
      <c r="G813">
        <v>0</v>
      </c>
      <c r="H813">
        <v>0</v>
      </c>
      <c r="I813">
        <v>0</v>
      </c>
      <c r="J813" s="2" t="s">
        <v>15</v>
      </c>
    </row>
    <row r="814" spans="1:10" x14ac:dyDescent="0.2">
      <c r="A814">
        <v>813</v>
      </c>
      <c r="B814" s="2" t="s">
        <v>14</v>
      </c>
      <c r="C814" s="2" t="s">
        <v>14</v>
      </c>
      <c r="D814">
        <v>1560</v>
      </c>
      <c r="E814">
        <v>9</v>
      </c>
      <c r="F814">
        <v>2003</v>
      </c>
      <c r="G814">
        <v>0</v>
      </c>
      <c r="H814">
        <v>0</v>
      </c>
      <c r="I814">
        <v>0</v>
      </c>
      <c r="J814" s="2" t="s">
        <v>15</v>
      </c>
    </row>
    <row r="815" spans="1:10" x14ac:dyDescent="0.2">
      <c r="A815">
        <v>814</v>
      </c>
      <c r="B815" s="2" t="s">
        <v>17</v>
      </c>
      <c r="C815" s="2" t="s">
        <v>13</v>
      </c>
      <c r="D815">
        <v>24530</v>
      </c>
      <c r="E815">
        <v>7</v>
      </c>
      <c r="F815">
        <v>2013</v>
      </c>
      <c r="G815">
        <v>0</v>
      </c>
      <c r="H815">
        <v>0</v>
      </c>
      <c r="I815">
        <v>0</v>
      </c>
      <c r="J815" s="2" t="s">
        <v>15</v>
      </c>
    </row>
    <row r="816" spans="1:10" x14ac:dyDescent="0.2">
      <c r="A816">
        <v>815</v>
      </c>
      <c r="B816" s="2" t="s">
        <v>14</v>
      </c>
      <c r="C816" s="2" t="s">
        <v>14</v>
      </c>
      <c r="D816">
        <v>590</v>
      </c>
      <c r="E816">
        <v>1</v>
      </c>
      <c r="F816">
        <v>1900</v>
      </c>
      <c r="G816">
        <v>1</v>
      </c>
      <c r="H816">
        <v>40</v>
      </c>
      <c r="I816">
        <v>2014</v>
      </c>
      <c r="J816" s="2" t="s">
        <v>16</v>
      </c>
    </row>
    <row r="817" spans="1:10" x14ac:dyDescent="0.2">
      <c r="A817">
        <v>816</v>
      </c>
      <c r="B817" s="2" t="s">
        <v>13</v>
      </c>
      <c r="C817" s="2" t="s">
        <v>13</v>
      </c>
      <c r="D817">
        <v>460</v>
      </c>
      <c r="G817">
        <v>0</v>
      </c>
      <c r="H817">
        <v>0</v>
      </c>
      <c r="I817">
        <v>0</v>
      </c>
      <c r="J817" s="2" t="s">
        <v>15</v>
      </c>
    </row>
    <row r="818" spans="1:10" x14ac:dyDescent="0.2">
      <c r="A818">
        <v>817</v>
      </c>
      <c r="B818" s="2" t="s">
        <v>14</v>
      </c>
      <c r="C818" s="2" t="s">
        <v>14</v>
      </c>
      <c r="D818">
        <v>140</v>
      </c>
      <c r="E818">
        <v>3</v>
      </c>
      <c r="F818">
        <v>2006</v>
      </c>
      <c r="G818">
        <v>0</v>
      </c>
      <c r="H818">
        <v>0</v>
      </c>
      <c r="I818">
        <v>0</v>
      </c>
      <c r="J818" s="2" t="s">
        <v>15</v>
      </c>
    </row>
    <row r="819" spans="1:10" x14ac:dyDescent="0.2">
      <c r="A819">
        <v>818</v>
      </c>
      <c r="B819" s="2" t="s">
        <v>17</v>
      </c>
      <c r="C819" s="2" t="s">
        <v>14</v>
      </c>
      <c r="D819">
        <v>490</v>
      </c>
      <c r="G819">
        <v>1</v>
      </c>
      <c r="H819">
        <v>35</v>
      </c>
      <c r="I819">
        <v>2010</v>
      </c>
      <c r="J819" s="2" t="s">
        <v>19</v>
      </c>
    </row>
    <row r="820" spans="1:10" x14ac:dyDescent="0.2">
      <c r="A820">
        <v>819</v>
      </c>
      <c r="B820" s="2" t="s">
        <v>14</v>
      </c>
      <c r="C820" s="2" t="s">
        <v>13</v>
      </c>
      <c r="D820">
        <v>720</v>
      </c>
      <c r="E820">
        <v>10</v>
      </c>
      <c r="F820">
        <v>2014</v>
      </c>
      <c r="G820">
        <v>0</v>
      </c>
      <c r="H820">
        <v>0</v>
      </c>
      <c r="I820">
        <v>0</v>
      </c>
      <c r="J820" s="2" t="s">
        <v>15</v>
      </c>
    </row>
    <row r="821" spans="1:10" x14ac:dyDescent="0.2">
      <c r="A821">
        <v>820</v>
      </c>
      <c r="B821" s="2" t="s">
        <v>14</v>
      </c>
      <c r="C821" s="2" t="s">
        <v>13</v>
      </c>
      <c r="D821">
        <v>1650</v>
      </c>
      <c r="G821">
        <v>1</v>
      </c>
      <c r="H821">
        <v>40</v>
      </c>
      <c r="I821">
        <v>2014</v>
      </c>
      <c r="J821" s="2" t="s">
        <v>16</v>
      </c>
    </row>
    <row r="822" spans="1:10" x14ac:dyDescent="0.2">
      <c r="A822">
        <v>821</v>
      </c>
      <c r="B822" s="2" t="s">
        <v>14</v>
      </c>
      <c r="C822" s="2" t="s">
        <v>14</v>
      </c>
      <c r="D822">
        <v>1700</v>
      </c>
      <c r="E822">
        <v>9</v>
      </c>
      <c r="F822">
        <v>2009</v>
      </c>
      <c r="G822">
        <v>0</v>
      </c>
      <c r="H822">
        <v>0</v>
      </c>
      <c r="I822">
        <v>0</v>
      </c>
      <c r="J822" s="2" t="s">
        <v>15</v>
      </c>
    </row>
    <row r="823" spans="1:10" x14ac:dyDescent="0.2">
      <c r="A823">
        <v>822</v>
      </c>
      <c r="B823" s="2" t="s">
        <v>14</v>
      </c>
      <c r="C823" s="2" t="s">
        <v>13</v>
      </c>
      <c r="D823">
        <v>410</v>
      </c>
      <c r="E823">
        <v>11</v>
      </c>
      <c r="F823">
        <v>2010</v>
      </c>
      <c r="G823">
        <v>1</v>
      </c>
      <c r="H823">
        <v>48</v>
      </c>
      <c r="I823">
        <v>2010</v>
      </c>
      <c r="J823" s="2" t="s">
        <v>19</v>
      </c>
    </row>
    <row r="824" spans="1:10" x14ac:dyDescent="0.2">
      <c r="A824">
        <v>823</v>
      </c>
      <c r="B824" s="2" t="s">
        <v>14</v>
      </c>
      <c r="C824" s="2" t="s">
        <v>13</v>
      </c>
      <c r="D824">
        <v>16210</v>
      </c>
      <c r="E824">
        <v>11</v>
      </c>
      <c r="F824">
        <v>2010</v>
      </c>
      <c r="G824">
        <v>0</v>
      </c>
      <c r="H824">
        <v>0</v>
      </c>
      <c r="I824">
        <v>0</v>
      </c>
      <c r="J824" s="2" t="s">
        <v>15</v>
      </c>
    </row>
    <row r="825" spans="1:10" x14ac:dyDescent="0.2">
      <c r="A825">
        <v>824</v>
      </c>
      <c r="B825" s="2" t="s">
        <v>14</v>
      </c>
      <c r="C825" s="2" t="s">
        <v>14</v>
      </c>
      <c r="D825">
        <v>17570</v>
      </c>
      <c r="G825">
        <v>0</v>
      </c>
      <c r="H825">
        <v>0</v>
      </c>
      <c r="I825">
        <v>0</v>
      </c>
      <c r="J825" s="2" t="s">
        <v>15</v>
      </c>
    </row>
    <row r="826" spans="1:10" x14ac:dyDescent="0.2">
      <c r="A826">
        <v>825</v>
      </c>
      <c r="B826" s="2" t="s">
        <v>14</v>
      </c>
      <c r="C826" s="2" t="s">
        <v>14</v>
      </c>
      <c r="D826">
        <v>380</v>
      </c>
      <c r="E826">
        <v>5</v>
      </c>
      <c r="F826">
        <v>2011</v>
      </c>
      <c r="G826">
        <v>1</v>
      </c>
      <c r="H826">
        <v>40</v>
      </c>
      <c r="I826">
        <v>2014</v>
      </c>
      <c r="J826" s="2" t="s">
        <v>16</v>
      </c>
    </row>
    <row r="827" spans="1:10" x14ac:dyDescent="0.2">
      <c r="A827">
        <v>826</v>
      </c>
      <c r="B827" s="2" t="s">
        <v>14</v>
      </c>
      <c r="C827" s="2" t="s">
        <v>13</v>
      </c>
      <c r="D827">
        <v>7980</v>
      </c>
      <c r="E827">
        <v>6</v>
      </c>
      <c r="F827">
        <v>2005</v>
      </c>
      <c r="G827">
        <v>0</v>
      </c>
      <c r="H827">
        <v>0</v>
      </c>
      <c r="I827">
        <v>0</v>
      </c>
      <c r="J827" s="2" t="s">
        <v>15</v>
      </c>
    </row>
    <row r="828" spans="1:10" x14ac:dyDescent="0.2">
      <c r="A828">
        <v>827</v>
      </c>
      <c r="B828" s="2" t="s">
        <v>14</v>
      </c>
      <c r="C828" s="2" t="s">
        <v>13</v>
      </c>
      <c r="D828">
        <v>250</v>
      </c>
      <c r="E828">
        <v>1</v>
      </c>
      <c r="F828">
        <v>2005</v>
      </c>
      <c r="G828">
        <v>0</v>
      </c>
      <c r="H828">
        <v>0</v>
      </c>
      <c r="I828">
        <v>0</v>
      </c>
      <c r="J828" s="2" t="s">
        <v>15</v>
      </c>
    </row>
    <row r="829" spans="1:10" x14ac:dyDescent="0.2">
      <c r="A829">
        <v>828</v>
      </c>
      <c r="B829" s="2" t="s">
        <v>17</v>
      </c>
      <c r="C829" s="2" t="s">
        <v>13</v>
      </c>
      <c r="D829">
        <v>3290</v>
      </c>
      <c r="E829">
        <v>12</v>
      </c>
      <c r="F829">
        <v>2014</v>
      </c>
      <c r="G829">
        <v>0</v>
      </c>
      <c r="H829">
        <v>0</v>
      </c>
      <c r="I829">
        <v>0</v>
      </c>
      <c r="J829" s="2" t="s">
        <v>15</v>
      </c>
    </row>
    <row r="830" spans="1:10" x14ac:dyDescent="0.2">
      <c r="A830">
        <v>829</v>
      </c>
      <c r="B830" s="2" t="s">
        <v>13</v>
      </c>
      <c r="C830" s="2" t="s">
        <v>14</v>
      </c>
      <c r="D830">
        <v>110</v>
      </c>
      <c r="G830">
        <v>0</v>
      </c>
      <c r="H830">
        <v>0</v>
      </c>
      <c r="I830">
        <v>0</v>
      </c>
      <c r="J830" s="2" t="s">
        <v>15</v>
      </c>
    </row>
    <row r="831" spans="1:10" x14ac:dyDescent="0.2">
      <c r="A831">
        <v>830</v>
      </c>
      <c r="B831" s="2" t="s">
        <v>14</v>
      </c>
      <c r="C831" s="2" t="s">
        <v>13</v>
      </c>
      <c r="D831">
        <v>6320</v>
      </c>
      <c r="G831">
        <v>1</v>
      </c>
      <c r="H831">
        <v>5</v>
      </c>
      <c r="I831">
        <v>2011</v>
      </c>
      <c r="J831" s="2" t="s">
        <v>16</v>
      </c>
    </row>
    <row r="832" spans="1:10" x14ac:dyDescent="0.2">
      <c r="A832">
        <v>831</v>
      </c>
      <c r="B832" s="2" t="s">
        <v>14</v>
      </c>
      <c r="C832" s="2" t="s">
        <v>14</v>
      </c>
      <c r="D832">
        <v>800</v>
      </c>
      <c r="E832">
        <v>6</v>
      </c>
      <c r="F832">
        <v>2007</v>
      </c>
      <c r="G832">
        <v>0</v>
      </c>
      <c r="H832">
        <v>0</v>
      </c>
      <c r="I832">
        <v>0</v>
      </c>
      <c r="J832" s="2" t="s">
        <v>15</v>
      </c>
    </row>
    <row r="833" spans="1:10" x14ac:dyDescent="0.2">
      <c r="A833">
        <v>832</v>
      </c>
      <c r="B833" s="2" t="s">
        <v>17</v>
      </c>
      <c r="C833" s="2" t="s">
        <v>14</v>
      </c>
      <c r="D833">
        <v>5070</v>
      </c>
      <c r="G833">
        <v>1</v>
      </c>
      <c r="H833">
        <v>45</v>
      </c>
      <c r="I833">
        <v>2009</v>
      </c>
      <c r="J833" s="2" t="s">
        <v>18</v>
      </c>
    </row>
    <row r="834" spans="1:10" x14ac:dyDescent="0.2">
      <c r="A834">
        <v>833</v>
      </c>
      <c r="B834" s="2" t="s">
        <v>17</v>
      </c>
      <c r="C834" s="2" t="s">
        <v>13</v>
      </c>
      <c r="D834">
        <v>3290</v>
      </c>
      <c r="E834">
        <v>12</v>
      </c>
      <c r="F834">
        <v>1999</v>
      </c>
      <c r="G834">
        <v>1</v>
      </c>
      <c r="H834">
        <v>35</v>
      </c>
      <c r="I834">
        <v>2010</v>
      </c>
      <c r="J834" s="2" t="s">
        <v>19</v>
      </c>
    </row>
    <row r="835" spans="1:10" x14ac:dyDescent="0.2">
      <c r="A835">
        <v>834</v>
      </c>
      <c r="B835" s="2" t="s">
        <v>14</v>
      </c>
      <c r="C835" s="2" t="s">
        <v>14</v>
      </c>
      <c r="D835">
        <v>3470</v>
      </c>
      <c r="E835">
        <v>3</v>
      </c>
      <c r="F835">
        <v>2012</v>
      </c>
      <c r="G835">
        <v>0</v>
      </c>
      <c r="H835">
        <v>0</v>
      </c>
      <c r="I835">
        <v>0</v>
      </c>
      <c r="J835" s="2" t="s">
        <v>15</v>
      </c>
    </row>
    <row r="836" spans="1:10" x14ac:dyDescent="0.2">
      <c r="A836">
        <v>835</v>
      </c>
      <c r="B836" s="2" t="s">
        <v>14</v>
      </c>
      <c r="C836" s="2" t="s">
        <v>14</v>
      </c>
      <c r="D836">
        <v>2890</v>
      </c>
      <c r="E836">
        <v>12</v>
      </c>
      <c r="F836">
        <v>2007</v>
      </c>
      <c r="G836">
        <v>1</v>
      </c>
      <c r="H836">
        <v>10</v>
      </c>
      <c r="I836">
        <v>2014</v>
      </c>
      <c r="J836" s="2" t="s">
        <v>19</v>
      </c>
    </row>
    <row r="837" spans="1:10" x14ac:dyDescent="0.2">
      <c r="A837">
        <v>836</v>
      </c>
      <c r="B837" s="2" t="s">
        <v>14</v>
      </c>
      <c r="C837" s="2" t="s">
        <v>14</v>
      </c>
      <c r="D837">
        <v>2720</v>
      </c>
      <c r="E837">
        <v>9</v>
      </c>
      <c r="F837">
        <v>2012</v>
      </c>
      <c r="G837">
        <v>0</v>
      </c>
      <c r="H837">
        <v>0</v>
      </c>
      <c r="I837">
        <v>0</v>
      </c>
      <c r="J837" s="2" t="s">
        <v>15</v>
      </c>
    </row>
    <row r="838" spans="1:10" x14ac:dyDescent="0.2">
      <c r="A838">
        <v>837</v>
      </c>
      <c r="B838" s="2" t="s">
        <v>14</v>
      </c>
      <c r="C838" s="2" t="s">
        <v>13</v>
      </c>
      <c r="D838">
        <v>14600</v>
      </c>
      <c r="E838">
        <v>4</v>
      </c>
      <c r="F838">
        <v>2015</v>
      </c>
      <c r="G838">
        <v>0</v>
      </c>
      <c r="H838">
        <v>0</v>
      </c>
      <c r="I838">
        <v>0</v>
      </c>
      <c r="J838" s="2" t="s">
        <v>15</v>
      </c>
    </row>
    <row r="839" spans="1:10" x14ac:dyDescent="0.2">
      <c r="A839">
        <v>838</v>
      </c>
      <c r="B839" s="2" t="s">
        <v>17</v>
      </c>
      <c r="C839" s="2" t="s">
        <v>13</v>
      </c>
      <c r="D839">
        <v>6890</v>
      </c>
      <c r="G839">
        <v>1</v>
      </c>
      <c r="H839">
        <v>48</v>
      </c>
      <c r="I839">
        <v>2011</v>
      </c>
      <c r="J839" s="2" t="s">
        <v>19</v>
      </c>
    </row>
    <row r="840" spans="1:10" x14ac:dyDescent="0.2">
      <c r="A840">
        <v>839</v>
      </c>
      <c r="B840" s="2" t="s">
        <v>13</v>
      </c>
      <c r="C840" s="2" t="s">
        <v>14</v>
      </c>
      <c r="D840">
        <v>240</v>
      </c>
      <c r="E840">
        <v>1</v>
      </c>
      <c r="F840">
        <v>2015</v>
      </c>
      <c r="G840">
        <v>0</v>
      </c>
      <c r="H840">
        <v>0</v>
      </c>
      <c r="I840">
        <v>0</v>
      </c>
      <c r="J840" s="2" t="s">
        <v>15</v>
      </c>
    </row>
    <row r="841" spans="1:10" x14ac:dyDescent="0.2">
      <c r="A841">
        <v>840</v>
      </c>
      <c r="B841" s="2" t="s">
        <v>14</v>
      </c>
      <c r="C841" s="2" t="s">
        <v>14</v>
      </c>
      <c r="D841">
        <v>1070</v>
      </c>
      <c r="E841">
        <v>9</v>
      </c>
      <c r="F841">
        <v>2009</v>
      </c>
      <c r="G841">
        <v>0</v>
      </c>
      <c r="H841">
        <v>0</v>
      </c>
      <c r="I841">
        <v>0</v>
      </c>
      <c r="J841" s="2" t="s">
        <v>15</v>
      </c>
    </row>
    <row r="842" spans="1:10" x14ac:dyDescent="0.2">
      <c r="A842">
        <v>841</v>
      </c>
      <c r="B842" s="2" t="s">
        <v>14</v>
      </c>
      <c r="C842" s="2" t="s">
        <v>14</v>
      </c>
      <c r="D842">
        <v>27650</v>
      </c>
      <c r="E842">
        <v>8</v>
      </c>
      <c r="F842">
        <v>2004</v>
      </c>
      <c r="G842">
        <v>0</v>
      </c>
      <c r="H842">
        <v>0</v>
      </c>
      <c r="I842">
        <v>0</v>
      </c>
      <c r="J842" s="2" t="s">
        <v>15</v>
      </c>
    </row>
    <row r="843" spans="1:10" x14ac:dyDescent="0.2">
      <c r="A843">
        <v>842</v>
      </c>
      <c r="B843" s="2" t="s">
        <v>17</v>
      </c>
      <c r="C843" s="2" t="s">
        <v>13</v>
      </c>
      <c r="D843">
        <v>1200</v>
      </c>
      <c r="E843">
        <v>11</v>
      </c>
      <c r="F843">
        <v>2007</v>
      </c>
      <c r="G843">
        <v>0</v>
      </c>
      <c r="H843">
        <v>0</v>
      </c>
      <c r="I843">
        <v>0</v>
      </c>
      <c r="J843" s="2" t="s">
        <v>15</v>
      </c>
    </row>
    <row r="844" spans="1:10" x14ac:dyDescent="0.2">
      <c r="A844">
        <v>843</v>
      </c>
      <c r="B844" s="2" t="s">
        <v>13</v>
      </c>
      <c r="C844" s="2" t="s">
        <v>14</v>
      </c>
      <c r="D844">
        <v>60</v>
      </c>
      <c r="E844">
        <v>4</v>
      </c>
      <c r="F844">
        <v>2006</v>
      </c>
      <c r="G844">
        <v>0</v>
      </c>
      <c r="H844">
        <v>0</v>
      </c>
      <c r="I844">
        <v>0</v>
      </c>
      <c r="J844" s="2" t="s">
        <v>15</v>
      </c>
    </row>
    <row r="845" spans="1:10" x14ac:dyDescent="0.2">
      <c r="A845">
        <v>844</v>
      </c>
      <c r="B845" s="2" t="s">
        <v>14</v>
      </c>
      <c r="C845" s="2" t="s">
        <v>14</v>
      </c>
      <c r="D845">
        <v>2030</v>
      </c>
      <c r="E845">
        <v>9</v>
      </c>
      <c r="F845">
        <v>2012</v>
      </c>
      <c r="G845">
        <v>1</v>
      </c>
      <c r="H845">
        <v>18</v>
      </c>
      <c r="I845">
        <v>2011</v>
      </c>
      <c r="J845" s="2" t="s">
        <v>18</v>
      </c>
    </row>
    <row r="846" spans="1:10" x14ac:dyDescent="0.2">
      <c r="A846">
        <v>845</v>
      </c>
      <c r="B846" s="2" t="s">
        <v>17</v>
      </c>
      <c r="C846" s="2" t="s">
        <v>14</v>
      </c>
      <c r="D846">
        <v>7860</v>
      </c>
      <c r="E846">
        <v>11</v>
      </c>
      <c r="F846">
        <v>2005</v>
      </c>
      <c r="G846">
        <v>1</v>
      </c>
      <c r="H846">
        <v>14</v>
      </c>
      <c r="I846">
        <v>2011</v>
      </c>
      <c r="J846" s="2" t="s">
        <v>16</v>
      </c>
    </row>
    <row r="847" spans="1:10" x14ac:dyDescent="0.2">
      <c r="A847">
        <v>846</v>
      </c>
      <c r="B847" s="2" t="s">
        <v>14</v>
      </c>
      <c r="C847" s="2" t="s">
        <v>13</v>
      </c>
      <c r="D847">
        <v>8860</v>
      </c>
      <c r="E847">
        <v>4</v>
      </c>
      <c r="F847">
        <v>2004</v>
      </c>
      <c r="G847">
        <v>1</v>
      </c>
      <c r="H847">
        <v>37</v>
      </c>
      <c r="I847">
        <v>2009</v>
      </c>
      <c r="J847" s="2" t="s">
        <v>16</v>
      </c>
    </row>
    <row r="848" spans="1:10" x14ac:dyDescent="0.2">
      <c r="A848">
        <v>847</v>
      </c>
      <c r="B848" s="2" t="s">
        <v>13</v>
      </c>
      <c r="C848" s="2" t="s">
        <v>13</v>
      </c>
      <c r="D848">
        <v>190</v>
      </c>
      <c r="G848">
        <v>1</v>
      </c>
      <c r="H848">
        <v>31</v>
      </c>
      <c r="I848">
        <v>2013</v>
      </c>
      <c r="J848" s="2" t="s">
        <v>18</v>
      </c>
    </row>
    <row r="849" spans="1:10" x14ac:dyDescent="0.2">
      <c r="A849">
        <v>848</v>
      </c>
      <c r="B849" s="2" t="s">
        <v>14</v>
      </c>
      <c r="C849" s="2" t="s">
        <v>13</v>
      </c>
      <c r="D849">
        <v>370</v>
      </c>
      <c r="E849">
        <v>7</v>
      </c>
      <c r="F849">
        <v>2007</v>
      </c>
      <c r="G849">
        <v>1</v>
      </c>
      <c r="H849">
        <v>14</v>
      </c>
      <c r="I849">
        <v>2011</v>
      </c>
      <c r="J849" s="2" t="s">
        <v>16</v>
      </c>
    </row>
    <row r="850" spans="1:10" x14ac:dyDescent="0.2">
      <c r="A850">
        <v>849</v>
      </c>
      <c r="B850" s="2" t="s">
        <v>13</v>
      </c>
      <c r="C850" s="2" t="s">
        <v>13</v>
      </c>
      <c r="D850">
        <v>5000</v>
      </c>
      <c r="G850">
        <v>0</v>
      </c>
      <c r="H850">
        <v>0</v>
      </c>
      <c r="I850">
        <v>0</v>
      </c>
      <c r="J850" s="2" t="s">
        <v>15</v>
      </c>
    </row>
    <row r="851" spans="1:10" x14ac:dyDescent="0.2">
      <c r="A851">
        <v>850</v>
      </c>
      <c r="B851" s="2" t="s">
        <v>17</v>
      </c>
      <c r="C851" s="2" t="s">
        <v>14</v>
      </c>
      <c r="D851">
        <v>1120</v>
      </c>
      <c r="E851">
        <v>5</v>
      </c>
      <c r="F851">
        <v>2007</v>
      </c>
      <c r="G851">
        <v>1</v>
      </c>
      <c r="H851">
        <v>31</v>
      </c>
      <c r="I851">
        <v>2013</v>
      </c>
      <c r="J851" s="2" t="s">
        <v>16</v>
      </c>
    </row>
    <row r="852" spans="1:10" x14ac:dyDescent="0.2">
      <c r="A852">
        <v>851</v>
      </c>
      <c r="B852" s="2" t="s">
        <v>17</v>
      </c>
      <c r="C852" s="2" t="s">
        <v>13</v>
      </c>
      <c r="D852">
        <v>2330</v>
      </c>
      <c r="G852">
        <v>1</v>
      </c>
      <c r="H852">
        <v>49</v>
      </c>
      <c r="I852">
        <v>2014</v>
      </c>
      <c r="J852" s="2" t="s">
        <v>19</v>
      </c>
    </row>
    <row r="853" spans="1:10" x14ac:dyDescent="0.2">
      <c r="A853">
        <v>852</v>
      </c>
      <c r="B853" s="2" t="s">
        <v>13</v>
      </c>
      <c r="C853" s="2" t="s">
        <v>14</v>
      </c>
      <c r="D853">
        <v>940</v>
      </c>
      <c r="E853">
        <v>4</v>
      </c>
      <c r="F853">
        <v>2004</v>
      </c>
      <c r="G853">
        <v>1</v>
      </c>
      <c r="H853">
        <v>14</v>
      </c>
      <c r="I853">
        <v>2011</v>
      </c>
      <c r="J853" s="2" t="s">
        <v>16</v>
      </c>
    </row>
    <row r="854" spans="1:10" x14ac:dyDescent="0.2">
      <c r="A854">
        <v>853</v>
      </c>
      <c r="B854" s="2" t="s">
        <v>14</v>
      </c>
      <c r="C854" s="2" t="s">
        <v>14</v>
      </c>
      <c r="D854">
        <v>14040</v>
      </c>
      <c r="G854">
        <v>0</v>
      </c>
      <c r="H854">
        <v>0</v>
      </c>
      <c r="I854">
        <v>0</v>
      </c>
      <c r="J854" s="2" t="s">
        <v>15</v>
      </c>
    </row>
    <row r="855" spans="1:10" x14ac:dyDescent="0.2">
      <c r="A855">
        <v>854</v>
      </c>
      <c r="B855" s="2" t="s">
        <v>13</v>
      </c>
      <c r="C855" s="2" t="s">
        <v>14</v>
      </c>
      <c r="D855">
        <v>4770</v>
      </c>
      <c r="G855">
        <v>1</v>
      </c>
      <c r="H855">
        <v>13</v>
      </c>
      <c r="I855">
        <v>2010</v>
      </c>
      <c r="J855" s="2" t="s">
        <v>16</v>
      </c>
    </row>
    <row r="856" spans="1:10" x14ac:dyDescent="0.2">
      <c r="A856">
        <v>855</v>
      </c>
      <c r="B856" s="2" t="s">
        <v>14</v>
      </c>
      <c r="C856" s="2" t="s">
        <v>14</v>
      </c>
      <c r="D856">
        <v>3440</v>
      </c>
      <c r="G856">
        <v>1</v>
      </c>
      <c r="H856">
        <v>45</v>
      </c>
      <c r="I856">
        <v>2009</v>
      </c>
      <c r="J856" s="2" t="s">
        <v>18</v>
      </c>
    </row>
    <row r="857" spans="1:10" x14ac:dyDescent="0.2">
      <c r="A857">
        <v>856</v>
      </c>
      <c r="B857" s="2" t="s">
        <v>14</v>
      </c>
      <c r="C857" s="2" t="s">
        <v>14</v>
      </c>
      <c r="D857">
        <v>3020</v>
      </c>
      <c r="E857">
        <v>2</v>
      </c>
      <c r="F857">
        <v>2010</v>
      </c>
      <c r="G857">
        <v>0</v>
      </c>
      <c r="H857">
        <v>0</v>
      </c>
      <c r="I857">
        <v>0</v>
      </c>
      <c r="J857" s="2" t="s">
        <v>15</v>
      </c>
    </row>
    <row r="858" spans="1:10" x14ac:dyDescent="0.2">
      <c r="A858">
        <v>857</v>
      </c>
      <c r="B858" s="2" t="s">
        <v>13</v>
      </c>
      <c r="C858" s="2" t="s">
        <v>14</v>
      </c>
      <c r="D858">
        <v>6270</v>
      </c>
      <c r="E858">
        <v>8</v>
      </c>
      <c r="F858">
        <v>2005</v>
      </c>
      <c r="G858">
        <v>1</v>
      </c>
      <c r="H858">
        <v>23</v>
      </c>
      <c r="I858">
        <v>2014</v>
      </c>
      <c r="J858" s="2" t="s">
        <v>19</v>
      </c>
    </row>
    <row r="859" spans="1:10" x14ac:dyDescent="0.2">
      <c r="A859">
        <v>858</v>
      </c>
      <c r="B859" s="2" t="s">
        <v>14</v>
      </c>
      <c r="C859" s="2" t="s">
        <v>14</v>
      </c>
      <c r="D859">
        <v>3370</v>
      </c>
      <c r="E859">
        <v>12</v>
      </c>
      <c r="F859">
        <v>2008</v>
      </c>
      <c r="G859">
        <v>1</v>
      </c>
      <c r="H859">
        <v>40</v>
      </c>
      <c r="I859">
        <v>2014</v>
      </c>
      <c r="J859" s="2" t="s">
        <v>16</v>
      </c>
    </row>
    <row r="860" spans="1:10" x14ac:dyDescent="0.2">
      <c r="A860">
        <v>859</v>
      </c>
      <c r="B860" s="2" t="s">
        <v>13</v>
      </c>
      <c r="C860" s="2" t="s">
        <v>14</v>
      </c>
      <c r="D860">
        <v>21770</v>
      </c>
      <c r="E860">
        <v>7</v>
      </c>
      <c r="F860">
        <v>2015</v>
      </c>
      <c r="G860">
        <v>0</v>
      </c>
      <c r="H860">
        <v>0</v>
      </c>
      <c r="I860">
        <v>0</v>
      </c>
      <c r="J860" s="2" t="s">
        <v>15</v>
      </c>
    </row>
    <row r="861" spans="1:10" x14ac:dyDescent="0.2">
      <c r="A861">
        <v>860</v>
      </c>
      <c r="B861" s="2" t="s">
        <v>13</v>
      </c>
      <c r="C861" s="2" t="s">
        <v>13</v>
      </c>
      <c r="D861">
        <v>5980</v>
      </c>
      <c r="E861">
        <v>2</v>
      </c>
      <c r="F861">
        <v>2010</v>
      </c>
      <c r="G861">
        <v>0</v>
      </c>
      <c r="H861">
        <v>0</v>
      </c>
      <c r="I861">
        <v>0</v>
      </c>
      <c r="J861" s="2" t="s">
        <v>15</v>
      </c>
    </row>
    <row r="862" spans="1:10" x14ac:dyDescent="0.2">
      <c r="A862">
        <v>861</v>
      </c>
      <c r="B862" s="2" t="s">
        <v>13</v>
      </c>
      <c r="C862" s="2" t="s">
        <v>13</v>
      </c>
      <c r="D862">
        <v>740</v>
      </c>
      <c r="G862">
        <v>1</v>
      </c>
      <c r="H862">
        <v>14</v>
      </c>
      <c r="I862">
        <v>2013</v>
      </c>
      <c r="J862" s="2" t="s">
        <v>19</v>
      </c>
    </row>
    <row r="863" spans="1:10" x14ac:dyDescent="0.2">
      <c r="A863">
        <v>862</v>
      </c>
      <c r="B863" s="2" t="s">
        <v>14</v>
      </c>
      <c r="C863" s="2" t="s">
        <v>13</v>
      </c>
      <c r="D863">
        <v>2840</v>
      </c>
      <c r="E863">
        <v>3</v>
      </c>
      <c r="F863">
        <v>2010</v>
      </c>
      <c r="G863">
        <v>1</v>
      </c>
      <c r="H863">
        <v>14</v>
      </c>
      <c r="I863">
        <v>2011</v>
      </c>
      <c r="J863" s="2" t="s">
        <v>16</v>
      </c>
    </row>
    <row r="864" spans="1:10" x14ac:dyDescent="0.2">
      <c r="A864">
        <v>863</v>
      </c>
      <c r="B864" s="2" t="s">
        <v>14</v>
      </c>
      <c r="C864" s="2" t="s">
        <v>13</v>
      </c>
      <c r="D864">
        <v>21370</v>
      </c>
      <c r="E864">
        <v>11</v>
      </c>
      <c r="F864">
        <v>2010</v>
      </c>
      <c r="G864">
        <v>0</v>
      </c>
      <c r="H864">
        <v>0</v>
      </c>
      <c r="I864">
        <v>0</v>
      </c>
      <c r="J864" s="2" t="s">
        <v>15</v>
      </c>
    </row>
    <row r="865" spans="1:10" x14ac:dyDescent="0.2">
      <c r="A865">
        <v>864</v>
      </c>
      <c r="B865" s="2" t="s">
        <v>14</v>
      </c>
      <c r="C865" s="2" t="s">
        <v>14</v>
      </c>
      <c r="D865">
        <v>1020</v>
      </c>
      <c r="E865">
        <v>10</v>
      </c>
      <c r="F865">
        <v>2012</v>
      </c>
      <c r="G865">
        <v>1</v>
      </c>
      <c r="H865">
        <v>45</v>
      </c>
      <c r="I865">
        <v>2009</v>
      </c>
      <c r="J865" s="2" t="s">
        <v>18</v>
      </c>
    </row>
    <row r="866" spans="1:10" x14ac:dyDescent="0.2">
      <c r="A866">
        <v>865</v>
      </c>
      <c r="B866" s="2" t="s">
        <v>17</v>
      </c>
      <c r="C866" s="2" t="s">
        <v>13</v>
      </c>
      <c r="D866">
        <v>2640</v>
      </c>
      <c r="G866">
        <v>0</v>
      </c>
      <c r="H866">
        <v>0</v>
      </c>
      <c r="I866">
        <v>0</v>
      </c>
      <c r="J866" s="2" t="s">
        <v>15</v>
      </c>
    </row>
    <row r="867" spans="1:10" x14ac:dyDescent="0.2">
      <c r="A867">
        <v>866</v>
      </c>
      <c r="B867" s="2" t="s">
        <v>17</v>
      </c>
      <c r="C867" s="2" t="s">
        <v>14</v>
      </c>
      <c r="D867">
        <v>9680</v>
      </c>
      <c r="G867">
        <v>1</v>
      </c>
      <c r="H867">
        <v>5</v>
      </c>
      <c r="I867">
        <v>2013</v>
      </c>
      <c r="J867" s="2" t="s">
        <v>18</v>
      </c>
    </row>
    <row r="868" spans="1:10" x14ac:dyDescent="0.2">
      <c r="A868">
        <v>867</v>
      </c>
      <c r="B868" s="2" t="s">
        <v>17</v>
      </c>
      <c r="C868" s="2" t="s">
        <v>13</v>
      </c>
      <c r="D868">
        <v>21810</v>
      </c>
      <c r="E868">
        <v>9</v>
      </c>
      <c r="F868">
        <v>2012</v>
      </c>
      <c r="G868">
        <v>0</v>
      </c>
      <c r="H868">
        <v>0</v>
      </c>
      <c r="I868">
        <v>0</v>
      </c>
      <c r="J868" s="2" t="s">
        <v>15</v>
      </c>
    </row>
    <row r="869" spans="1:10" x14ac:dyDescent="0.2">
      <c r="A869">
        <v>868</v>
      </c>
      <c r="B869" s="2" t="s">
        <v>17</v>
      </c>
      <c r="C869" s="2" t="s">
        <v>13</v>
      </c>
      <c r="D869">
        <v>1360</v>
      </c>
      <c r="E869">
        <v>8</v>
      </c>
      <c r="F869">
        <v>2005</v>
      </c>
      <c r="G869">
        <v>1</v>
      </c>
      <c r="H869">
        <v>10</v>
      </c>
      <c r="I869">
        <v>2014</v>
      </c>
      <c r="J869" s="2" t="s">
        <v>16</v>
      </c>
    </row>
    <row r="870" spans="1:10" x14ac:dyDescent="0.2">
      <c r="A870">
        <v>869</v>
      </c>
      <c r="B870" s="2" t="s">
        <v>13</v>
      </c>
      <c r="C870" s="2" t="s">
        <v>14</v>
      </c>
      <c r="D870">
        <v>230</v>
      </c>
      <c r="E870">
        <v>10</v>
      </c>
      <c r="F870">
        <v>2001</v>
      </c>
      <c r="G870">
        <v>1</v>
      </c>
      <c r="H870">
        <v>14</v>
      </c>
      <c r="I870">
        <v>2011</v>
      </c>
      <c r="J870" s="2" t="s">
        <v>16</v>
      </c>
    </row>
    <row r="871" spans="1:10" x14ac:dyDescent="0.2">
      <c r="A871">
        <v>870</v>
      </c>
      <c r="B871" s="2" t="s">
        <v>14</v>
      </c>
      <c r="C871" s="2" t="s">
        <v>14</v>
      </c>
      <c r="D871">
        <v>780</v>
      </c>
      <c r="E871">
        <v>4</v>
      </c>
      <c r="F871">
        <v>2009</v>
      </c>
      <c r="G871">
        <v>0</v>
      </c>
      <c r="H871">
        <v>0</v>
      </c>
      <c r="I871">
        <v>0</v>
      </c>
      <c r="J871" s="2" t="s">
        <v>15</v>
      </c>
    </row>
    <row r="872" spans="1:10" x14ac:dyDescent="0.2">
      <c r="A872">
        <v>871</v>
      </c>
      <c r="B872" s="2" t="s">
        <v>17</v>
      </c>
      <c r="C872" s="2" t="s">
        <v>13</v>
      </c>
      <c r="D872">
        <v>10620</v>
      </c>
      <c r="G872">
        <v>0</v>
      </c>
      <c r="H872">
        <v>0</v>
      </c>
      <c r="I872">
        <v>0</v>
      </c>
      <c r="J872" s="2" t="s">
        <v>15</v>
      </c>
    </row>
    <row r="873" spans="1:10" x14ac:dyDescent="0.2">
      <c r="A873">
        <v>872</v>
      </c>
      <c r="B873" s="2" t="s">
        <v>14</v>
      </c>
      <c r="C873" s="2" t="s">
        <v>13</v>
      </c>
      <c r="D873">
        <v>3860</v>
      </c>
      <c r="E873">
        <v>9</v>
      </c>
      <c r="F873">
        <v>2014</v>
      </c>
      <c r="G873">
        <v>1</v>
      </c>
      <c r="H873">
        <v>23</v>
      </c>
      <c r="I873">
        <v>2015</v>
      </c>
      <c r="J873" s="2" t="s">
        <v>19</v>
      </c>
    </row>
    <row r="874" spans="1:10" x14ac:dyDescent="0.2">
      <c r="A874">
        <v>873</v>
      </c>
      <c r="B874" s="2" t="s">
        <v>14</v>
      </c>
      <c r="C874" s="2" t="s">
        <v>14</v>
      </c>
      <c r="D874">
        <v>2040</v>
      </c>
      <c r="E874">
        <v>11</v>
      </c>
      <c r="F874">
        <v>2008</v>
      </c>
      <c r="G874">
        <v>0</v>
      </c>
      <c r="H874">
        <v>0</v>
      </c>
      <c r="I874">
        <v>0</v>
      </c>
      <c r="J874" s="2" t="s">
        <v>15</v>
      </c>
    </row>
    <row r="875" spans="1:10" x14ac:dyDescent="0.2">
      <c r="A875">
        <v>874</v>
      </c>
      <c r="B875" s="2" t="s">
        <v>14</v>
      </c>
      <c r="C875" s="2" t="s">
        <v>14</v>
      </c>
      <c r="D875">
        <v>3210</v>
      </c>
      <c r="G875">
        <v>0</v>
      </c>
      <c r="H875">
        <v>0</v>
      </c>
      <c r="I875">
        <v>0</v>
      </c>
      <c r="J875" s="2" t="s">
        <v>15</v>
      </c>
    </row>
    <row r="876" spans="1:10" x14ac:dyDescent="0.2">
      <c r="A876">
        <v>875</v>
      </c>
      <c r="B876" s="2" t="s">
        <v>17</v>
      </c>
      <c r="C876" s="2" t="s">
        <v>14</v>
      </c>
      <c r="D876">
        <v>5070</v>
      </c>
      <c r="E876">
        <v>11</v>
      </c>
      <c r="F876">
        <v>2007</v>
      </c>
      <c r="G876">
        <v>1</v>
      </c>
      <c r="H876">
        <v>18</v>
      </c>
      <c r="I876">
        <v>2015</v>
      </c>
      <c r="J876" s="2" t="s">
        <v>18</v>
      </c>
    </row>
    <row r="877" spans="1:10" x14ac:dyDescent="0.2">
      <c r="A877">
        <v>876</v>
      </c>
      <c r="B877" s="2" t="s">
        <v>14</v>
      </c>
      <c r="C877" s="2" t="s">
        <v>14</v>
      </c>
      <c r="D877">
        <v>21790</v>
      </c>
      <c r="E877">
        <v>4</v>
      </c>
      <c r="F877">
        <v>2005</v>
      </c>
      <c r="G877">
        <v>1</v>
      </c>
      <c r="H877">
        <v>18</v>
      </c>
      <c r="I877">
        <v>2015</v>
      </c>
      <c r="J877" s="2" t="s">
        <v>18</v>
      </c>
    </row>
    <row r="878" spans="1:10" x14ac:dyDescent="0.2">
      <c r="A878">
        <v>877</v>
      </c>
      <c r="B878" s="2" t="s">
        <v>14</v>
      </c>
      <c r="C878" s="2" t="s">
        <v>13</v>
      </c>
      <c r="D878">
        <v>29190</v>
      </c>
      <c r="G878">
        <v>0</v>
      </c>
      <c r="H878">
        <v>0</v>
      </c>
      <c r="I878">
        <v>0</v>
      </c>
      <c r="J878" s="2" t="s">
        <v>15</v>
      </c>
    </row>
    <row r="879" spans="1:10" x14ac:dyDescent="0.2">
      <c r="A879">
        <v>878</v>
      </c>
      <c r="B879" s="2" t="s">
        <v>17</v>
      </c>
      <c r="C879" s="2" t="s">
        <v>13</v>
      </c>
      <c r="D879">
        <v>1100</v>
      </c>
      <c r="E879">
        <v>12</v>
      </c>
      <c r="F879">
        <v>2014</v>
      </c>
      <c r="G879">
        <v>0</v>
      </c>
      <c r="H879">
        <v>0</v>
      </c>
      <c r="I879">
        <v>0</v>
      </c>
      <c r="J879" s="2" t="s">
        <v>15</v>
      </c>
    </row>
    <row r="880" spans="1:10" x14ac:dyDescent="0.2">
      <c r="A880">
        <v>879</v>
      </c>
      <c r="B880" s="2" t="s">
        <v>17</v>
      </c>
      <c r="C880" s="2" t="s">
        <v>14</v>
      </c>
      <c r="G880">
        <v>1</v>
      </c>
      <c r="H880">
        <v>5</v>
      </c>
      <c r="I880">
        <v>2013</v>
      </c>
      <c r="J880" s="2" t="s">
        <v>18</v>
      </c>
    </row>
    <row r="881" spans="1:10" x14ac:dyDescent="0.2">
      <c r="A881">
        <v>880</v>
      </c>
      <c r="B881" s="2" t="s">
        <v>14</v>
      </c>
      <c r="C881" s="2" t="s">
        <v>13</v>
      </c>
      <c r="D881">
        <v>4570</v>
      </c>
      <c r="G881">
        <v>0</v>
      </c>
      <c r="H881">
        <v>0</v>
      </c>
      <c r="I881">
        <v>0</v>
      </c>
      <c r="J881" s="2" t="s">
        <v>15</v>
      </c>
    </row>
    <row r="882" spans="1:10" x14ac:dyDescent="0.2">
      <c r="A882">
        <v>881</v>
      </c>
      <c r="B882" s="2" t="s">
        <v>14</v>
      </c>
      <c r="C882" s="2" t="s">
        <v>14</v>
      </c>
      <c r="D882">
        <v>180</v>
      </c>
      <c r="E882">
        <v>3</v>
      </c>
      <c r="F882">
        <v>2008</v>
      </c>
      <c r="G882">
        <v>1</v>
      </c>
      <c r="H882">
        <v>31</v>
      </c>
      <c r="I882">
        <v>2013</v>
      </c>
      <c r="J882" s="2" t="s">
        <v>18</v>
      </c>
    </row>
    <row r="883" spans="1:10" x14ac:dyDescent="0.2">
      <c r="A883">
        <v>882</v>
      </c>
      <c r="B883" s="2" t="s">
        <v>14</v>
      </c>
      <c r="C883" s="2" t="s">
        <v>14</v>
      </c>
      <c r="D883">
        <v>30</v>
      </c>
      <c r="E883">
        <v>4</v>
      </c>
      <c r="F883">
        <v>2013</v>
      </c>
      <c r="G883">
        <v>0</v>
      </c>
      <c r="H883">
        <v>0</v>
      </c>
      <c r="I883">
        <v>0</v>
      </c>
      <c r="J883" s="2" t="s">
        <v>15</v>
      </c>
    </row>
    <row r="884" spans="1:10" x14ac:dyDescent="0.2">
      <c r="A884">
        <v>883</v>
      </c>
      <c r="B884" s="2" t="s">
        <v>14</v>
      </c>
      <c r="C884" s="2" t="s">
        <v>14</v>
      </c>
      <c r="D884">
        <v>3200</v>
      </c>
      <c r="E884">
        <v>6</v>
      </c>
      <c r="F884">
        <v>2005</v>
      </c>
      <c r="G884">
        <v>0</v>
      </c>
      <c r="H884">
        <v>0</v>
      </c>
      <c r="I884">
        <v>0</v>
      </c>
      <c r="J884" s="2" t="s">
        <v>15</v>
      </c>
    </row>
    <row r="885" spans="1:10" x14ac:dyDescent="0.2">
      <c r="A885">
        <v>884</v>
      </c>
      <c r="B885" s="2" t="s">
        <v>17</v>
      </c>
      <c r="C885" s="2" t="s">
        <v>13</v>
      </c>
      <c r="D885">
        <v>7550</v>
      </c>
      <c r="G885">
        <v>0</v>
      </c>
      <c r="H885">
        <v>0</v>
      </c>
      <c r="I885">
        <v>0</v>
      </c>
      <c r="J885" s="2" t="s">
        <v>15</v>
      </c>
    </row>
    <row r="886" spans="1:10" x14ac:dyDescent="0.2">
      <c r="A886">
        <v>885</v>
      </c>
      <c r="B886" s="2" t="s">
        <v>14</v>
      </c>
      <c r="C886" s="2" t="s">
        <v>14</v>
      </c>
      <c r="D886">
        <v>480</v>
      </c>
      <c r="E886">
        <v>12</v>
      </c>
      <c r="F886">
        <v>2005</v>
      </c>
      <c r="G886">
        <v>0</v>
      </c>
      <c r="H886">
        <v>0</v>
      </c>
      <c r="I886">
        <v>0</v>
      </c>
      <c r="J886" s="2" t="s">
        <v>15</v>
      </c>
    </row>
    <row r="887" spans="1:10" x14ac:dyDescent="0.2">
      <c r="A887">
        <v>886</v>
      </c>
      <c r="B887" s="2" t="s">
        <v>14</v>
      </c>
      <c r="C887" s="2" t="s">
        <v>13</v>
      </c>
      <c r="D887">
        <v>12430</v>
      </c>
      <c r="E887">
        <v>10</v>
      </c>
      <c r="F887">
        <v>2004</v>
      </c>
      <c r="G887">
        <v>0</v>
      </c>
      <c r="H887">
        <v>0</v>
      </c>
      <c r="I887">
        <v>0</v>
      </c>
      <c r="J887" s="2" t="s">
        <v>15</v>
      </c>
    </row>
    <row r="888" spans="1:10" x14ac:dyDescent="0.2">
      <c r="A888">
        <v>887</v>
      </c>
      <c r="B888" s="2" t="s">
        <v>17</v>
      </c>
      <c r="C888" s="2" t="s">
        <v>14</v>
      </c>
      <c r="D888">
        <v>19700</v>
      </c>
      <c r="G888">
        <v>1</v>
      </c>
      <c r="H888">
        <v>37</v>
      </c>
      <c r="I888">
        <v>2009</v>
      </c>
      <c r="J888" s="2" t="s">
        <v>16</v>
      </c>
    </row>
    <row r="889" spans="1:10" x14ac:dyDescent="0.2">
      <c r="A889">
        <v>888</v>
      </c>
      <c r="B889" s="2" t="s">
        <v>17</v>
      </c>
      <c r="C889" s="2" t="s">
        <v>14</v>
      </c>
      <c r="D889">
        <v>4450</v>
      </c>
      <c r="E889">
        <v>6</v>
      </c>
      <c r="F889">
        <v>2012</v>
      </c>
      <c r="G889">
        <v>1</v>
      </c>
      <c r="H889">
        <v>35</v>
      </c>
      <c r="I889">
        <v>2012</v>
      </c>
      <c r="J889" s="2" t="s">
        <v>19</v>
      </c>
    </row>
    <row r="890" spans="1:10" x14ac:dyDescent="0.2">
      <c r="A890">
        <v>889</v>
      </c>
      <c r="B890" s="2" t="s">
        <v>17</v>
      </c>
      <c r="C890" s="2" t="s">
        <v>14</v>
      </c>
      <c r="D890">
        <v>18670</v>
      </c>
      <c r="E890">
        <v>12</v>
      </c>
      <c r="F890">
        <v>2005</v>
      </c>
      <c r="G890">
        <v>0</v>
      </c>
      <c r="H890">
        <v>0</v>
      </c>
      <c r="I890">
        <v>0</v>
      </c>
      <c r="J890" s="2" t="s">
        <v>15</v>
      </c>
    </row>
    <row r="891" spans="1:10" x14ac:dyDescent="0.2">
      <c r="A891">
        <v>890</v>
      </c>
      <c r="B891" s="2" t="s">
        <v>14</v>
      </c>
      <c r="C891" s="2" t="s">
        <v>14</v>
      </c>
      <c r="D891">
        <v>4450</v>
      </c>
      <c r="G891">
        <v>1</v>
      </c>
      <c r="H891">
        <v>14</v>
      </c>
      <c r="I891">
        <v>2011</v>
      </c>
      <c r="J891" s="2" t="s">
        <v>16</v>
      </c>
    </row>
    <row r="892" spans="1:10" x14ac:dyDescent="0.2">
      <c r="A892">
        <v>891</v>
      </c>
      <c r="B892" s="2" t="s">
        <v>14</v>
      </c>
      <c r="C892" s="2" t="s">
        <v>13</v>
      </c>
      <c r="D892">
        <v>350</v>
      </c>
      <c r="G892">
        <v>1</v>
      </c>
      <c r="H892">
        <v>31</v>
      </c>
      <c r="I892">
        <v>2013</v>
      </c>
      <c r="J892" s="2" t="s">
        <v>18</v>
      </c>
    </row>
    <row r="893" spans="1:10" x14ac:dyDescent="0.2">
      <c r="A893">
        <v>892</v>
      </c>
      <c r="B893" s="2" t="s">
        <v>14</v>
      </c>
      <c r="C893" s="2" t="s">
        <v>14</v>
      </c>
      <c r="D893">
        <v>19370</v>
      </c>
      <c r="E893">
        <v>4</v>
      </c>
      <c r="F893">
        <v>2002</v>
      </c>
      <c r="G893">
        <v>0</v>
      </c>
      <c r="H893">
        <v>0</v>
      </c>
      <c r="I893">
        <v>0</v>
      </c>
      <c r="J893" s="2" t="s">
        <v>15</v>
      </c>
    </row>
    <row r="894" spans="1:10" x14ac:dyDescent="0.2">
      <c r="A894">
        <v>893</v>
      </c>
      <c r="B894" s="2" t="s">
        <v>14</v>
      </c>
      <c r="C894" s="2" t="s">
        <v>14</v>
      </c>
      <c r="D894">
        <v>130</v>
      </c>
      <c r="G894">
        <v>1</v>
      </c>
      <c r="H894">
        <v>1</v>
      </c>
      <c r="I894">
        <v>2013</v>
      </c>
      <c r="J894" s="2" t="s">
        <v>16</v>
      </c>
    </row>
    <row r="895" spans="1:10" x14ac:dyDescent="0.2">
      <c r="A895">
        <v>894</v>
      </c>
      <c r="B895" s="2" t="s">
        <v>14</v>
      </c>
      <c r="C895" s="2" t="s">
        <v>14</v>
      </c>
      <c r="D895">
        <v>190</v>
      </c>
      <c r="E895">
        <v>11</v>
      </c>
      <c r="F895">
        <v>2012</v>
      </c>
      <c r="G895">
        <v>0</v>
      </c>
      <c r="H895">
        <v>0</v>
      </c>
      <c r="I895">
        <v>0</v>
      </c>
      <c r="J895" s="2" t="s">
        <v>15</v>
      </c>
    </row>
    <row r="896" spans="1:10" x14ac:dyDescent="0.2">
      <c r="A896">
        <v>895</v>
      </c>
      <c r="B896" s="2" t="s">
        <v>14</v>
      </c>
      <c r="C896" s="2" t="s">
        <v>13</v>
      </c>
      <c r="D896">
        <v>4150</v>
      </c>
      <c r="G896">
        <v>0</v>
      </c>
      <c r="H896">
        <v>0</v>
      </c>
      <c r="I896">
        <v>0</v>
      </c>
      <c r="J896" s="2" t="s">
        <v>15</v>
      </c>
    </row>
    <row r="897" spans="1:10" x14ac:dyDescent="0.2">
      <c r="A897">
        <v>896</v>
      </c>
      <c r="B897" s="2" t="s">
        <v>14</v>
      </c>
      <c r="C897" s="2" t="s">
        <v>13</v>
      </c>
      <c r="D897">
        <v>170</v>
      </c>
      <c r="E897">
        <v>9</v>
      </c>
      <c r="F897">
        <v>2012</v>
      </c>
      <c r="G897">
        <v>0</v>
      </c>
      <c r="H897">
        <v>0</v>
      </c>
      <c r="I897">
        <v>0</v>
      </c>
      <c r="J897" s="2" t="s">
        <v>15</v>
      </c>
    </row>
    <row r="898" spans="1:10" x14ac:dyDescent="0.2">
      <c r="A898">
        <v>897</v>
      </c>
      <c r="B898" s="2" t="s">
        <v>13</v>
      </c>
      <c r="C898" s="2" t="s">
        <v>13</v>
      </c>
      <c r="D898">
        <v>3290</v>
      </c>
      <c r="E898">
        <v>1</v>
      </c>
      <c r="F898">
        <v>2007</v>
      </c>
      <c r="G898">
        <v>1</v>
      </c>
      <c r="H898">
        <v>5</v>
      </c>
      <c r="I898">
        <v>2013</v>
      </c>
      <c r="J898" s="2" t="s">
        <v>18</v>
      </c>
    </row>
    <row r="899" spans="1:10" x14ac:dyDescent="0.2">
      <c r="A899">
        <v>898</v>
      </c>
      <c r="B899" s="2" t="s">
        <v>14</v>
      </c>
      <c r="C899" s="2" t="s">
        <v>14</v>
      </c>
      <c r="D899">
        <v>18540</v>
      </c>
      <c r="G899">
        <v>0</v>
      </c>
      <c r="H899">
        <v>0</v>
      </c>
      <c r="I899">
        <v>0</v>
      </c>
      <c r="J899" s="2" t="s">
        <v>15</v>
      </c>
    </row>
    <row r="900" spans="1:10" x14ac:dyDescent="0.2">
      <c r="A900">
        <v>899</v>
      </c>
      <c r="B900" s="2" t="s">
        <v>17</v>
      </c>
      <c r="C900" s="2" t="s">
        <v>14</v>
      </c>
      <c r="D900">
        <v>2590</v>
      </c>
      <c r="G900">
        <v>1</v>
      </c>
      <c r="H900">
        <v>13</v>
      </c>
      <c r="I900">
        <v>2010</v>
      </c>
      <c r="J900" s="2" t="s">
        <v>16</v>
      </c>
    </row>
    <row r="901" spans="1:10" x14ac:dyDescent="0.2">
      <c r="A901">
        <v>900</v>
      </c>
      <c r="B901" s="2" t="s">
        <v>14</v>
      </c>
      <c r="C901" s="2" t="s">
        <v>14</v>
      </c>
      <c r="D901">
        <v>3920</v>
      </c>
      <c r="E901">
        <v>4</v>
      </c>
      <c r="F901">
        <v>2005</v>
      </c>
      <c r="G901">
        <v>1</v>
      </c>
      <c r="H901">
        <v>40</v>
      </c>
      <c r="I901">
        <v>2014</v>
      </c>
      <c r="J901" s="2" t="s">
        <v>16</v>
      </c>
    </row>
    <row r="902" spans="1:10" x14ac:dyDescent="0.2">
      <c r="A902">
        <v>901</v>
      </c>
      <c r="B902" s="2" t="s">
        <v>14</v>
      </c>
      <c r="C902" s="2" t="s">
        <v>13</v>
      </c>
      <c r="D902">
        <v>3170</v>
      </c>
      <c r="E902">
        <v>4</v>
      </c>
      <c r="F902">
        <v>2014</v>
      </c>
      <c r="G902">
        <v>0</v>
      </c>
      <c r="H902">
        <v>0</v>
      </c>
      <c r="I902">
        <v>0</v>
      </c>
      <c r="J902" s="2" t="s">
        <v>15</v>
      </c>
    </row>
    <row r="903" spans="1:10" x14ac:dyDescent="0.2">
      <c r="A903">
        <v>902</v>
      </c>
      <c r="B903" s="2" t="s">
        <v>14</v>
      </c>
      <c r="C903" s="2" t="s">
        <v>14</v>
      </c>
      <c r="D903">
        <v>310</v>
      </c>
      <c r="E903">
        <v>5</v>
      </c>
      <c r="F903">
        <v>2015</v>
      </c>
      <c r="G903">
        <v>1</v>
      </c>
      <c r="H903">
        <v>40</v>
      </c>
      <c r="I903">
        <v>2014</v>
      </c>
      <c r="J903" s="2" t="s">
        <v>16</v>
      </c>
    </row>
    <row r="904" spans="1:10" x14ac:dyDescent="0.2">
      <c r="A904">
        <v>903</v>
      </c>
      <c r="B904" s="2" t="s">
        <v>17</v>
      </c>
      <c r="C904" s="2" t="s">
        <v>13</v>
      </c>
      <c r="D904">
        <v>7290</v>
      </c>
      <c r="E904">
        <v>9</v>
      </c>
      <c r="F904">
        <v>2014</v>
      </c>
      <c r="G904">
        <v>0</v>
      </c>
      <c r="H904">
        <v>0</v>
      </c>
      <c r="I904">
        <v>0</v>
      </c>
      <c r="J904" s="2" t="s">
        <v>15</v>
      </c>
    </row>
    <row r="905" spans="1:10" x14ac:dyDescent="0.2">
      <c r="A905">
        <v>904</v>
      </c>
      <c r="B905" s="2" t="s">
        <v>17</v>
      </c>
      <c r="C905" s="2" t="s">
        <v>13</v>
      </c>
      <c r="D905">
        <v>570</v>
      </c>
      <c r="E905">
        <v>7</v>
      </c>
      <c r="F905">
        <v>2013</v>
      </c>
      <c r="G905">
        <v>1</v>
      </c>
      <c r="H905">
        <v>14</v>
      </c>
      <c r="I905">
        <v>2011</v>
      </c>
      <c r="J905" s="2" t="s">
        <v>16</v>
      </c>
    </row>
    <row r="906" spans="1:10" x14ac:dyDescent="0.2">
      <c r="A906">
        <v>905</v>
      </c>
      <c r="B906" s="2" t="s">
        <v>14</v>
      </c>
      <c r="C906" s="2" t="s">
        <v>14</v>
      </c>
      <c r="D906">
        <v>90</v>
      </c>
      <c r="E906">
        <v>6</v>
      </c>
      <c r="F906">
        <v>2014</v>
      </c>
      <c r="G906">
        <v>0</v>
      </c>
      <c r="H906">
        <v>0</v>
      </c>
      <c r="I906">
        <v>0</v>
      </c>
      <c r="J906" s="2" t="s">
        <v>15</v>
      </c>
    </row>
    <row r="907" spans="1:10" x14ac:dyDescent="0.2">
      <c r="A907">
        <v>906</v>
      </c>
      <c r="B907" s="2" t="s">
        <v>14</v>
      </c>
      <c r="C907" s="2" t="s">
        <v>14</v>
      </c>
      <c r="D907">
        <v>90</v>
      </c>
      <c r="E907">
        <v>7</v>
      </c>
      <c r="F907">
        <v>2010</v>
      </c>
      <c r="G907">
        <v>0</v>
      </c>
      <c r="H907">
        <v>0</v>
      </c>
      <c r="I907">
        <v>0</v>
      </c>
      <c r="J907" s="2" t="s">
        <v>15</v>
      </c>
    </row>
    <row r="908" spans="1:10" x14ac:dyDescent="0.2">
      <c r="A908">
        <v>907</v>
      </c>
      <c r="B908" s="2" t="s">
        <v>14</v>
      </c>
      <c r="C908" s="2" t="s">
        <v>13</v>
      </c>
      <c r="D908">
        <v>250</v>
      </c>
      <c r="G908">
        <v>0</v>
      </c>
      <c r="H908">
        <v>0</v>
      </c>
      <c r="I908">
        <v>0</v>
      </c>
      <c r="J908" s="2" t="s">
        <v>15</v>
      </c>
    </row>
    <row r="909" spans="1:10" x14ac:dyDescent="0.2">
      <c r="A909">
        <v>908</v>
      </c>
      <c r="B909" s="2" t="s">
        <v>14</v>
      </c>
      <c r="C909" s="2" t="s">
        <v>14</v>
      </c>
      <c r="D909">
        <v>1980</v>
      </c>
      <c r="E909">
        <v>7</v>
      </c>
      <c r="F909">
        <v>2010</v>
      </c>
      <c r="G909">
        <v>1</v>
      </c>
      <c r="H909">
        <v>37</v>
      </c>
      <c r="I909">
        <v>2009</v>
      </c>
      <c r="J909" s="2" t="s">
        <v>16</v>
      </c>
    </row>
    <row r="910" spans="1:10" x14ac:dyDescent="0.2">
      <c r="A910">
        <v>909</v>
      </c>
      <c r="B910" s="2" t="s">
        <v>14</v>
      </c>
      <c r="C910" s="2" t="s">
        <v>13</v>
      </c>
      <c r="D910">
        <v>1680</v>
      </c>
      <c r="G910">
        <v>1</v>
      </c>
      <c r="H910">
        <v>45</v>
      </c>
      <c r="I910">
        <v>2009</v>
      </c>
      <c r="J910" s="2" t="s">
        <v>18</v>
      </c>
    </row>
    <row r="911" spans="1:10" x14ac:dyDescent="0.2">
      <c r="A911">
        <v>910</v>
      </c>
      <c r="B911" s="2" t="s">
        <v>17</v>
      </c>
      <c r="C911" s="2" t="s">
        <v>13</v>
      </c>
      <c r="D911">
        <v>12480</v>
      </c>
      <c r="G911">
        <v>1</v>
      </c>
      <c r="H911">
        <v>1</v>
      </c>
      <c r="I911">
        <v>2013</v>
      </c>
      <c r="J911" s="2" t="s">
        <v>16</v>
      </c>
    </row>
    <row r="912" spans="1:10" x14ac:dyDescent="0.2">
      <c r="A912">
        <v>911</v>
      </c>
      <c r="B912" s="2" t="s">
        <v>14</v>
      </c>
      <c r="C912" s="2" t="s">
        <v>13</v>
      </c>
      <c r="D912">
        <v>16490</v>
      </c>
      <c r="G912">
        <v>0</v>
      </c>
      <c r="H912">
        <v>0</v>
      </c>
      <c r="I912">
        <v>0</v>
      </c>
      <c r="J912" s="2" t="s">
        <v>15</v>
      </c>
    </row>
    <row r="913" spans="1:10" x14ac:dyDescent="0.2">
      <c r="A913">
        <v>912</v>
      </c>
      <c r="B913" s="2" t="s">
        <v>13</v>
      </c>
      <c r="C913" s="2" t="s">
        <v>13</v>
      </c>
      <c r="D913">
        <v>3100</v>
      </c>
      <c r="E913">
        <v>5</v>
      </c>
      <c r="F913">
        <v>2010</v>
      </c>
      <c r="G913">
        <v>0</v>
      </c>
      <c r="H913">
        <v>0</v>
      </c>
      <c r="I913">
        <v>0</v>
      </c>
      <c r="J913" s="2" t="s">
        <v>15</v>
      </c>
    </row>
    <row r="914" spans="1:10" x14ac:dyDescent="0.2">
      <c r="A914">
        <v>913</v>
      </c>
      <c r="B914" s="2" t="s">
        <v>14</v>
      </c>
      <c r="C914" s="2" t="s">
        <v>14</v>
      </c>
      <c r="D914">
        <v>280</v>
      </c>
      <c r="G914">
        <v>0</v>
      </c>
      <c r="H914">
        <v>0</v>
      </c>
      <c r="I914">
        <v>0</v>
      </c>
      <c r="J914" s="2" t="s">
        <v>15</v>
      </c>
    </row>
    <row r="915" spans="1:10" x14ac:dyDescent="0.2">
      <c r="A915">
        <v>914</v>
      </c>
      <c r="B915" s="2" t="s">
        <v>13</v>
      </c>
      <c r="C915" s="2" t="s">
        <v>13</v>
      </c>
      <c r="D915">
        <v>2640</v>
      </c>
      <c r="E915">
        <v>4</v>
      </c>
      <c r="F915">
        <v>2011</v>
      </c>
      <c r="G915">
        <v>1</v>
      </c>
      <c r="H915">
        <v>22</v>
      </c>
      <c r="I915">
        <v>2012</v>
      </c>
      <c r="J915" s="2" t="s">
        <v>19</v>
      </c>
    </row>
    <row r="916" spans="1:10" x14ac:dyDescent="0.2">
      <c r="A916">
        <v>915</v>
      </c>
      <c r="B916" s="2" t="s">
        <v>17</v>
      </c>
      <c r="C916" s="2" t="s">
        <v>13</v>
      </c>
      <c r="D916">
        <v>650</v>
      </c>
      <c r="E916">
        <v>3</v>
      </c>
      <c r="F916">
        <v>2013</v>
      </c>
      <c r="G916">
        <v>1</v>
      </c>
      <c r="H916">
        <v>40</v>
      </c>
      <c r="I916">
        <v>2014</v>
      </c>
      <c r="J916" s="2" t="s">
        <v>16</v>
      </c>
    </row>
    <row r="917" spans="1:10" x14ac:dyDescent="0.2">
      <c r="A917">
        <v>916</v>
      </c>
      <c r="B917" s="2" t="s">
        <v>14</v>
      </c>
      <c r="C917" s="2" t="s">
        <v>14</v>
      </c>
      <c r="D917">
        <v>90</v>
      </c>
      <c r="E917">
        <v>11</v>
      </c>
      <c r="F917">
        <v>2012</v>
      </c>
      <c r="G917">
        <v>0</v>
      </c>
      <c r="H917">
        <v>0</v>
      </c>
      <c r="I917">
        <v>0</v>
      </c>
      <c r="J917" s="2" t="s">
        <v>15</v>
      </c>
    </row>
    <row r="918" spans="1:10" x14ac:dyDescent="0.2">
      <c r="A918">
        <v>917</v>
      </c>
      <c r="B918" s="2" t="s">
        <v>14</v>
      </c>
      <c r="C918" s="2" t="s">
        <v>14</v>
      </c>
      <c r="D918">
        <v>7240</v>
      </c>
      <c r="E918">
        <v>2</v>
      </c>
      <c r="F918">
        <v>2010</v>
      </c>
      <c r="G918">
        <v>0</v>
      </c>
      <c r="H918">
        <v>0</v>
      </c>
      <c r="I918">
        <v>0</v>
      </c>
      <c r="J918" s="2" t="s">
        <v>15</v>
      </c>
    </row>
    <row r="919" spans="1:10" x14ac:dyDescent="0.2">
      <c r="A919">
        <v>918</v>
      </c>
      <c r="B919" s="2" t="s">
        <v>14</v>
      </c>
      <c r="C919" s="2" t="s">
        <v>13</v>
      </c>
      <c r="D919">
        <v>18710</v>
      </c>
      <c r="E919">
        <v>4</v>
      </c>
      <c r="F919">
        <v>2015</v>
      </c>
      <c r="G919">
        <v>0</v>
      </c>
      <c r="H919">
        <v>0</v>
      </c>
      <c r="I919">
        <v>0</v>
      </c>
      <c r="J919" s="2" t="s">
        <v>15</v>
      </c>
    </row>
    <row r="920" spans="1:10" x14ac:dyDescent="0.2">
      <c r="A920">
        <v>919</v>
      </c>
      <c r="B920" s="2" t="s">
        <v>14</v>
      </c>
      <c r="C920" s="2" t="s">
        <v>14</v>
      </c>
      <c r="D920">
        <v>2620</v>
      </c>
      <c r="G920">
        <v>1</v>
      </c>
      <c r="H920">
        <v>45</v>
      </c>
      <c r="I920">
        <v>2009</v>
      </c>
      <c r="J920" s="2" t="s">
        <v>18</v>
      </c>
    </row>
    <row r="921" spans="1:10" x14ac:dyDescent="0.2">
      <c r="A921">
        <v>920</v>
      </c>
      <c r="B921" s="2" t="s">
        <v>14</v>
      </c>
      <c r="C921" s="2" t="s">
        <v>14</v>
      </c>
      <c r="D921">
        <v>850</v>
      </c>
      <c r="E921">
        <v>2</v>
      </c>
      <c r="F921">
        <v>2012</v>
      </c>
      <c r="G921">
        <v>1</v>
      </c>
      <c r="H921">
        <v>40</v>
      </c>
      <c r="I921">
        <v>2014</v>
      </c>
      <c r="J921" s="2" t="s">
        <v>16</v>
      </c>
    </row>
    <row r="922" spans="1:10" x14ac:dyDescent="0.2">
      <c r="A922">
        <v>921</v>
      </c>
      <c r="B922" s="2" t="s">
        <v>14</v>
      </c>
      <c r="C922" s="2" t="s">
        <v>14</v>
      </c>
      <c r="D922">
        <v>840</v>
      </c>
      <c r="E922">
        <v>9</v>
      </c>
      <c r="F922">
        <v>2006</v>
      </c>
      <c r="G922">
        <v>0</v>
      </c>
      <c r="H922">
        <v>0</v>
      </c>
      <c r="I922">
        <v>0</v>
      </c>
      <c r="J922" s="2" t="s">
        <v>15</v>
      </c>
    </row>
    <row r="923" spans="1:10" x14ac:dyDescent="0.2">
      <c r="A923">
        <v>922</v>
      </c>
      <c r="B923" s="2" t="s">
        <v>17</v>
      </c>
      <c r="C923" s="2" t="s">
        <v>14</v>
      </c>
      <c r="D923">
        <v>2110</v>
      </c>
      <c r="E923">
        <v>3</v>
      </c>
      <c r="F923">
        <v>2006</v>
      </c>
      <c r="G923">
        <v>0</v>
      </c>
      <c r="H923">
        <v>0</v>
      </c>
      <c r="I923">
        <v>0</v>
      </c>
      <c r="J923" s="2" t="s">
        <v>15</v>
      </c>
    </row>
    <row r="924" spans="1:10" x14ac:dyDescent="0.2">
      <c r="A924">
        <v>923</v>
      </c>
      <c r="B924" s="2" t="s">
        <v>14</v>
      </c>
      <c r="C924" s="2" t="s">
        <v>14</v>
      </c>
      <c r="D924">
        <v>280</v>
      </c>
      <c r="E924">
        <v>9</v>
      </c>
      <c r="F924">
        <v>2008</v>
      </c>
      <c r="G924">
        <v>0</v>
      </c>
      <c r="H924">
        <v>0</v>
      </c>
      <c r="I924">
        <v>0</v>
      </c>
      <c r="J924" s="2" t="s">
        <v>15</v>
      </c>
    </row>
    <row r="925" spans="1:10" x14ac:dyDescent="0.2">
      <c r="A925">
        <v>924</v>
      </c>
      <c r="B925" s="2" t="s">
        <v>14</v>
      </c>
      <c r="C925" s="2" t="s">
        <v>14</v>
      </c>
      <c r="D925">
        <v>6420</v>
      </c>
      <c r="E925">
        <v>4</v>
      </c>
      <c r="F925">
        <v>2011</v>
      </c>
      <c r="G925">
        <v>1</v>
      </c>
      <c r="H925">
        <v>1</v>
      </c>
      <c r="I925">
        <v>2012</v>
      </c>
      <c r="J925" s="2" t="s">
        <v>16</v>
      </c>
    </row>
    <row r="926" spans="1:10" x14ac:dyDescent="0.2">
      <c r="A926">
        <v>925</v>
      </c>
      <c r="B926" s="2" t="s">
        <v>13</v>
      </c>
      <c r="C926" s="2" t="s">
        <v>14</v>
      </c>
      <c r="D926">
        <v>470</v>
      </c>
      <c r="E926">
        <v>3</v>
      </c>
      <c r="F926">
        <v>2007</v>
      </c>
      <c r="G926">
        <v>1</v>
      </c>
      <c r="H926">
        <v>1</v>
      </c>
      <c r="I926">
        <v>2012</v>
      </c>
      <c r="J926" s="2" t="s">
        <v>16</v>
      </c>
    </row>
    <row r="927" spans="1:10" x14ac:dyDescent="0.2">
      <c r="A927">
        <v>926</v>
      </c>
      <c r="B927" s="2" t="s">
        <v>17</v>
      </c>
      <c r="C927" s="2" t="s">
        <v>13</v>
      </c>
      <c r="D927">
        <v>5150</v>
      </c>
      <c r="E927">
        <v>3</v>
      </c>
      <c r="F927">
        <v>2011</v>
      </c>
      <c r="G927">
        <v>1</v>
      </c>
      <c r="H927">
        <v>13</v>
      </c>
      <c r="I927">
        <v>2010</v>
      </c>
      <c r="J927" s="2" t="s">
        <v>16</v>
      </c>
    </row>
    <row r="928" spans="1:10" x14ac:dyDescent="0.2">
      <c r="A928">
        <v>927</v>
      </c>
      <c r="B928" s="2" t="s">
        <v>14</v>
      </c>
      <c r="C928" s="2" t="s">
        <v>14</v>
      </c>
      <c r="D928">
        <v>480</v>
      </c>
      <c r="G928">
        <v>0</v>
      </c>
      <c r="H928">
        <v>0</v>
      </c>
      <c r="I928">
        <v>0</v>
      </c>
      <c r="J928" s="2" t="s">
        <v>15</v>
      </c>
    </row>
    <row r="929" spans="1:10" x14ac:dyDescent="0.2">
      <c r="A929">
        <v>928</v>
      </c>
      <c r="B929" s="2" t="s">
        <v>17</v>
      </c>
      <c r="C929" s="2" t="s">
        <v>13</v>
      </c>
      <c r="D929">
        <v>1090</v>
      </c>
      <c r="G929">
        <v>1</v>
      </c>
      <c r="H929">
        <v>31</v>
      </c>
      <c r="I929">
        <v>2013</v>
      </c>
      <c r="J929" s="2" t="s">
        <v>18</v>
      </c>
    </row>
    <row r="930" spans="1:10" x14ac:dyDescent="0.2">
      <c r="A930">
        <v>929</v>
      </c>
      <c r="B930" s="2" t="s">
        <v>14</v>
      </c>
      <c r="C930" s="2" t="s">
        <v>13</v>
      </c>
      <c r="D930">
        <v>4820</v>
      </c>
      <c r="E930">
        <v>9</v>
      </c>
      <c r="F930">
        <v>2013</v>
      </c>
      <c r="G930">
        <v>0</v>
      </c>
      <c r="H930">
        <v>0</v>
      </c>
      <c r="I930">
        <v>0</v>
      </c>
      <c r="J930" s="2" t="s">
        <v>15</v>
      </c>
    </row>
    <row r="931" spans="1:10" x14ac:dyDescent="0.2">
      <c r="A931">
        <v>930</v>
      </c>
      <c r="B931" s="2" t="s">
        <v>14</v>
      </c>
      <c r="C931" s="2" t="s">
        <v>14</v>
      </c>
      <c r="D931">
        <v>70</v>
      </c>
      <c r="G931">
        <v>0</v>
      </c>
      <c r="H931">
        <v>0</v>
      </c>
      <c r="I931">
        <v>0</v>
      </c>
      <c r="J931" s="2" t="s">
        <v>15</v>
      </c>
    </row>
    <row r="932" spans="1:10" x14ac:dyDescent="0.2">
      <c r="A932">
        <v>931</v>
      </c>
      <c r="B932" s="2" t="s">
        <v>14</v>
      </c>
      <c r="C932" s="2" t="s">
        <v>13</v>
      </c>
      <c r="D932">
        <v>1480</v>
      </c>
      <c r="E932">
        <v>9</v>
      </c>
      <c r="F932">
        <v>2011</v>
      </c>
      <c r="G932">
        <v>1</v>
      </c>
      <c r="H932">
        <v>1</v>
      </c>
      <c r="I932">
        <v>2012</v>
      </c>
      <c r="J932" s="2" t="s">
        <v>16</v>
      </c>
    </row>
    <row r="933" spans="1:10" x14ac:dyDescent="0.2">
      <c r="A933">
        <v>932</v>
      </c>
      <c r="B933" s="2" t="s">
        <v>14</v>
      </c>
      <c r="C933" s="2" t="s">
        <v>14</v>
      </c>
      <c r="D933">
        <v>15700</v>
      </c>
      <c r="G933">
        <v>1</v>
      </c>
      <c r="H933">
        <v>13</v>
      </c>
      <c r="I933">
        <v>2010</v>
      </c>
      <c r="J933" s="2" t="s">
        <v>16</v>
      </c>
    </row>
    <row r="934" spans="1:10" x14ac:dyDescent="0.2">
      <c r="A934">
        <v>933</v>
      </c>
      <c r="B934" s="2" t="s">
        <v>14</v>
      </c>
      <c r="C934" s="2" t="s">
        <v>13</v>
      </c>
      <c r="D934">
        <v>6270</v>
      </c>
      <c r="E934">
        <v>2</v>
      </c>
      <c r="F934">
        <v>2005</v>
      </c>
      <c r="G934">
        <v>0</v>
      </c>
      <c r="H934">
        <v>0</v>
      </c>
      <c r="I934">
        <v>0</v>
      </c>
      <c r="J934" s="2" t="s">
        <v>15</v>
      </c>
    </row>
    <row r="935" spans="1:10" x14ac:dyDescent="0.2">
      <c r="A935">
        <v>934</v>
      </c>
      <c r="B935" s="2" t="s">
        <v>14</v>
      </c>
      <c r="C935" s="2" t="s">
        <v>13</v>
      </c>
      <c r="D935">
        <v>5460</v>
      </c>
      <c r="G935">
        <v>1</v>
      </c>
      <c r="H935">
        <v>14</v>
      </c>
      <c r="I935">
        <v>2011</v>
      </c>
      <c r="J935" s="2" t="s">
        <v>16</v>
      </c>
    </row>
    <row r="936" spans="1:10" x14ac:dyDescent="0.2">
      <c r="A936">
        <v>935</v>
      </c>
      <c r="B936" s="2" t="s">
        <v>14</v>
      </c>
      <c r="C936" s="2" t="s">
        <v>13</v>
      </c>
      <c r="D936">
        <v>22350</v>
      </c>
      <c r="E936">
        <v>6</v>
      </c>
      <c r="F936">
        <v>2010</v>
      </c>
      <c r="G936">
        <v>0</v>
      </c>
      <c r="H936">
        <v>0</v>
      </c>
      <c r="I936">
        <v>0</v>
      </c>
      <c r="J936" s="2" t="s">
        <v>15</v>
      </c>
    </row>
    <row r="937" spans="1:10" x14ac:dyDescent="0.2">
      <c r="A937">
        <v>936</v>
      </c>
      <c r="B937" s="2" t="s">
        <v>14</v>
      </c>
      <c r="C937" s="2" t="s">
        <v>14</v>
      </c>
      <c r="D937">
        <v>580</v>
      </c>
      <c r="E937">
        <v>2</v>
      </c>
      <c r="F937">
        <v>2008</v>
      </c>
      <c r="G937">
        <v>0</v>
      </c>
      <c r="H937">
        <v>0</v>
      </c>
      <c r="I937">
        <v>0</v>
      </c>
      <c r="J937" s="2" t="s">
        <v>15</v>
      </c>
    </row>
    <row r="938" spans="1:10" x14ac:dyDescent="0.2">
      <c r="A938">
        <v>937</v>
      </c>
      <c r="B938" s="2" t="s">
        <v>17</v>
      </c>
      <c r="C938" s="2" t="s">
        <v>14</v>
      </c>
      <c r="D938">
        <v>2810</v>
      </c>
      <c r="G938">
        <v>1</v>
      </c>
      <c r="H938">
        <v>10</v>
      </c>
      <c r="I938">
        <v>2014</v>
      </c>
      <c r="J938" s="2" t="s">
        <v>16</v>
      </c>
    </row>
    <row r="939" spans="1:10" x14ac:dyDescent="0.2">
      <c r="A939">
        <v>938</v>
      </c>
      <c r="B939" s="2" t="s">
        <v>14</v>
      </c>
      <c r="C939" s="2" t="s">
        <v>14</v>
      </c>
      <c r="D939">
        <v>2820</v>
      </c>
      <c r="E939">
        <v>9</v>
      </c>
      <c r="F939">
        <v>2009</v>
      </c>
      <c r="G939">
        <v>0</v>
      </c>
      <c r="H939">
        <v>0</v>
      </c>
      <c r="I939">
        <v>0</v>
      </c>
      <c r="J939" s="2" t="s">
        <v>15</v>
      </c>
    </row>
    <row r="940" spans="1:10" x14ac:dyDescent="0.2">
      <c r="A940">
        <v>939</v>
      </c>
      <c r="B940" s="2" t="s">
        <v>17</v>
      </c>
      <c r="C940" s="2" t="s">
        <v>14</v>
      </c>
      <c r="D940">
        <v>1340</v>
      </c>
      <c r="G940">
        <v>0</v>
      </c>
      <c r="H940">
        <v>0</v>
      </c>
      <c r="I940">
        <v>0</v>
      </c>
      <c r="J940" s="2" t="s">
        <v>15</v>
      </c>
    </row>
    <row r="941" spans="1:10" x14ac:dyDescent="0.2">
      <c r="A941">
        <v>940</v>
      </c>
      <c r="B941" s="2" t="s">
        <v>17</v>
      </c>
      <c r="C941" s="2" t="s">
        <v>13</v>
      </c>
      <c r="D941">
        <v>6470</v>
      </c>
      <c r="E941">
        <v>9</v>
      </c>
      <c r="F941">
        <v>2012</v>
      </c>
      <c r="G941">
        <v>0</v>
      </c>
      <c r="H941">
        <v>0</v>
      </c>
      <c r="I941">
        <v>0</v>
      </c>
      <c r="J941" s="2" t="s">
        <v>15</v>
      </c>
    </row>
    <row r="942" spans="1:10" x14ac:dyDescent="0.2">
      <c r="A942">
        <v>941</v>
      </c>
      <c r="B942" s="2" t="s">
        <v>14</v>
      </c>
      <c r="C942" s="2" t="s">
        <v>14</v>
      </c>
      <c r="D942">
        <v>1200</v>
      </c>
      <c r="E942">
        <v>12</v>
      </c>
      <c r="F942">
        <v>2011</v>
      </c>
      <c r="G942">
        <v>1</v>
      </c>
      <c r="H942">
        <v>31</v>
      </c>
      <c r="I942">
        <v>2013</v>
      </c>
      <c r="J942" s="2" t="s">
        <v>16</v>
      </c>
    </row>
    <row r="943" spans="1:10" x14ac:dyDescent="0.2">
      <c r="A943">
        <v>942</v>
      </c>
      <c r="B943" s="2" t="s">
        <v>17</v>
      </c>
      <c r="C943" s="2" t="s">
        <v>13</v>
      </c>
      <c r="D943">
        <v>6860</v>
      </c>
      <c r="G943">
        <v>1</v>
      </c>
      <c r="H943">
        <v>18</v>
      </c>
      <c r="I943">
        <v>2011</v>
      </c>
      <c r="J943" s="2" t="s">
        <v>16</v>
      </c>
    </row>
    <row r="944" spans="1:10" x14ac:dyDescent="0.2">
      <c r="A944">
        <v>943</v>
      </c>
      <c r="B944" s="2" t="s">
        <v>17</v>
      </c>
      <c r="C944" s="2" t="s">
        <v>13</v>
      </c>
      <c r="D944">
        <v>18020</v>
      </c>
      <c r="G944">
        <v>0</v>
      </c>
      <c r="H944">
        <v>0</v>
      </c>
      <c r="I944">
        <v>0</v>
      </c>
      <c r="J944" s="2" t="s">
        <v>15</v>
      </c>
    </row>
    <row r="945" spans="1:10" x14ac:dyDescent="0.2">
      <c r="A945">
        <v>944</v>
      </c>
      <c r="B945" s="2" t="s">
        <v>13</v>
      </c>
      <c r="C945" s="2" t="s">
        <v>14</v>
      </c>
      <c r="D945">
        <v>1670</v>
      </c>
      <c r="E945">
        <v>7</v>
      </c>
      <c r="F945">
        <v>2015</v>
      </c>
      <c r="G945">
        <v>0</v>
      </c>
      <c r="H945">
        <v>0</v>
      </c>
      <c r="I945">
        <v>0</v>
      </c>
      <c r="J945" s="2" t="s">
        <v>15</v>
      </c>
    </row>
    <row r="946" spans="1:10" x14ac:dyDescent="0.2">
      <c r="A946">
        <v>945</v>
      </c>
      <c r="B946" s="2" t="s">
        <v>14</v>
      </c>
      <c r="C946" s="2" t="s">
        <v>13</v>
      </c>
      <c r="D946">
        <v>12480</v>
      </c>
      <c r="E946">
        <v>3</v>
      </c>
      <c r="F946">
        <v>2011</v>
      </c>
      <c r="G946">
        <v>0</v>
      </c>
      <c r="H946">
        <v>0</v>
      </c>
      <c r="I946">
        <v>0</v>
      </c>
      <c r="J946" s="2" t="s">
        <v>15</v>
      </c>
    </row>
    <row r="947" spans="1:10" x14ac:dyDescent="0.2">
      <c r="A947">
        <v>946</v>
      </c>
      <c r="B947" s="2" t="s">
        <v>14</v>
      </c>
      <c r="C947" s="2" t="s">
        <v>14</v>
      </c>
      <c r="D947">
        <v>2220</v>
      </c>
      <c r="E947">
        <v>12</v>
      </c>
      <c r="F947">
        <v>2011</v>
      </c>
      <c r="G947">
        <v>1</v>
      </c>
      <c r="H947">
        <v>14</v>
      </c>
      <c r="I947">
        <v>2015</v>
      </c>
      <c r="J947" s="2" t="s">
        <v>16</v>
      </c>
    </row>
    <row r="948" spans="1:10" x14ac:dyDescent="0.2">
      <c r="A948">
        <v>947</v>
      </c>
      <c r="B948" s="2" t="s">
        <v>14</v>
      </c>
      <c r="C948" s="2" t="s">
        <v>14</v>
      </c>
      <c r="D948">
        <v>460</v>
      </c>
      <c r="E948">
        <v>3</v>
      </c>
      <c r="F948">
        <v>2014</v>
      </c>
      <c r="G948">
        <v>1</v>
      </c>
      <c r="H948">
        <v>13</v>
      </c>
      <c r="I948">
        <v>2010</v>
      </c>
      <c r="J948" s="2" t="s">
        <v>16</v>
      </c>
    </row>
    <row r="949" spans="1:10" x14ac:dyDescent="0.2">
      <c r="A949">
        <v>948</v>
      </c>
      <c r="B949" s="2" t="s">
        <v>20</v>
      </c>
      <c r="C949" s="2" t="s">
        <v>20</v>
      </c>
      <c r="D949">
        <v>1430</v>
      </c>
      <c r="G949">
        <v>0</v>
      </c>
      <c r="H949">
        <v>0</v>
      </c>
      <c r="I949">
        <v>0</v>
      </c>
      <c r="J949" s="2" t="s">
        <v>15</v>
      </c>
    </row>
    <row r="950" spans="1:10" x14ac:dyDescent="0.2">
      <c r="A950">
        <v>949</v>
      </c>
      <c r="B950" s="2" t="s">
        <v>14</v>
      </c>
      <c r="C950" s="2" t="s">
        <v>14</v>
      </c>
      <c r="D950">
        <v>870</v>
      </c>
      <c r="E950">
        <v>3</v>
      </c>
      <c r="F950">
        <v>2006</v>
      </c>
      <c r="G950">
        <v>0</v>
      </c>
      <c r="H950">
        <v>0</v>
      </c>
      <c r="I950">
        <v>0</v>
      </c>
      <c r="J950" s="2" t="s">
        <v>15</v>
      </c>
    </row>
    <row r="951" spans="1:10" x14ac:dyDescent="0.2">
      <c r="A951">
        <v>950</v>
      </c>
      <c r="B951" s="2" t="s">
        <v>14</v>
      </c>
      <c r="C951" s="2" t="s">
        <v>14</v>
      </c>
      <c r="D951">
        <v>8460</v>
      </c>
      <c r="E951">
        <v>11</v>
      </c>
      <c r="F951">
        <v>1994</v>
      </c>
      <c r="G951">
        <v>0</v>
      </c>
      <c r="H951">
        <v>0</v>
      </c>
      <c r="I951">
        <v>0</v>
      </c>
      <c r="J951" s="2" t="s">
        <v>15</v>
      </c>
    </row>
    <row r="952" spans="1:10" x14ac:dyDescent="0.2">
      <c r="A952">
        <v>951</v>
      </c>
      <c r="B952" s="2" t="s">
        <v>17</v>
      </c>
      <c r="C952" s="2" t="s">
        <v>13</v>
      </c>
      <c r="D952">
        <v>710</v>
      </c>
      <c r="G952">
        <v>1</v>
      </c>
      <c r="H952">
        <v>40</v>
      </c>
      <c r="I952">
        <v>2011</v>
      </c>
      <c r="J952" s="2" t="s">
        <v>16</v>
      </c>
    </row>
    <row r="953" spans="1:10" x14ac:dyDescent="0.2">
      <c r="A953">
        <v>952</v>
      </c>
      <c r="B953" s="2" t="s">
        <v>17</v>
      </c>
      <c r="C953" s="2" t="s">
        <v>13</v>
      </c>
      <c r="D953">
        <v>6300</v>
      </c>
      <c r="E953">
        <v>10</v>
      </c>
      <c r="F953">
        <v>2013</v>
      </c>
      <c r="G953">
        <v>0</v>
      </c>
      <c r="H953">
        <v>0</v>
      </c>
      <c r="I953">
        <v>0</v>
      </c>
      <c r="J953" s="2" t="s">
        <v>15</v>
      </c>
    </row>
    <row r="954" spans="1:10" x14ac:dyDescent="0.2">
      <c r="A954">
        <v>953</v>
      </c>
      <c r="B954" s="2" t="s">
        <v>14</v>
      </c>
      <c r="C954" s="2" t="s">
        <v>14</v>
      </c>
      <c r="D954">
        <v>19830</v>
      </c>
      <c r="E954">
        <v>4</v>
      </c>
      <c r="F954">
        <v>2006</v>
      </c>
      <c r="G954">
        <v>1</v>
      </c>
      <c r="H954">
        <v>22</v>
      </c>
      <c r="I954">
        <v>2011</v>
      </c>
      <c r="J954" s="2" t="s">
        <v>19</v>
      </c>
    </row>
    <row r="955" spans="1:10" x14ac:dyDescent="0.2">
      <c r="A955">
        <v>954</v>
      </c>
      <c r="B955" s="2" t="s">
        <v>14</v>
      </c>
      <c r="C955" s="2" t="s">
        <v>14</v>
      </c>
      <c r="D955">
        <v>390</v>
      </c>
      <c r="E955">
        <v>2</v>
      </c>
      <c r="F955">
        <v>2013</v>
      </c>
      <c r="G955">
        <v>1</v>
      </c>
      <c r="H955">
        <v>10</v>
      </c>
      <c r="I955">
        <v>2014</v>
      </c>
      <c r="J955" s="2" t="s">
        <v>16</v>
      </c>
    </row>
    <row r="956" spans="1:10" x14ac:dyDescent="0.2">
      <c r="A956">
        <v>955</v>
      </c>
      <c r="B956" s="2" t="s">
        <v>17</v>
      </c>
      <c r="C956" s="2" t="s">
        <v>13</v>
      </c>
      <c r="D956">
        <v>1690</v>
      </c>
      <c r="E956">
        <v>7</v>
      </c>
      <c r="F956">
        <v>2009</v>
      </c>
      <c r="G956">
        <v>1</v>
      </c>
      <c r="H956">
        <v>36</v>
      </c>
      <c r="I956">
        <v>2013</v>
      </c>
      <c r="J956" s="2" t="s">
        <v>19</v>
      </c>
    </row>
    <row r="957" spans="1:10" x14ac:dyDescent="0.2">
      <c r="A957">
        <v>956</v>
      </c>
      <c r="B957" s="2" t="s">
        <v>14</v>
      </c>
      <c r="C957" s="2" t="s">
        <v>14</v>
      </c>
      <c r="D957">
        <v>2330</v>
      </c>
      <c r="E957">
        <v>10</v>
      </c>
      <c r="F957">
        <v>2014</v>
      </c>
      <c r="G957">
        <v>1</v>
      </c>
      <c r="H957">
        <v>18</v>
      </c>
      <c r="I957">
        <v>2011</v>
      </c>
      <c r="J957" s="2" t="s">
        <v>18</v>
      </c>
    </row>
    <row r="958" spans="1:10" x14ac:dyDescent="0.2">
      <c r="A958">
        <v>957</v>
      </c>
      <c r="B958" s="2" t="s">
        <v>17</v>
      </c>
      <c r="C958" s="2" t="s">
        <v>13</v>
      </c>
      <c r="D958">
        <v>1420</v>
      </c>
      <c r="E958">
        <v>11</v>
      </c>
      <c r="F958">
        <v>2012</v>
      </c>
      <c r="G958">
        <v>0</v>
      </c>
      <c r="H958">
        <v>0</v>
      </c>
      <c r="I958">
        <v>0</v>
      </c>
      <c r="J958" s="2" t="s">
        <v>15</v>
      </c>
    </row>
    <row r="959" spans="1:10" x14ac:dyDescent="0.2">
      <c r="A959">
        <v>958</v>
      </c>
      <c r="B959" s="2" t="s">
        <v>14</v>
      </c>
      <c r="C959" s="2" t="s">
        <v>14</v>
      </c>
      <c r="D959">
        <v>440</v>
      </c>
      <c r="E959">
        <v>11</v>
      </c>
      <c r="F959">
        <v>2013</v>
      </c>
      <c r="G959">
        <v>0</v>
      </c>
      <c r="H959">
        <v>0</v>
      </c>
      <c r="I959">
        <v>0</v>
      </c>
      <c r="J959" s="2" t="s">
        <v>15</v>
      </c>
    </row>
    <row r="960" spans="1:10" x14ac:dyDescent="0.2">
      <c r="A960">
        <v>959</v>
      </c>
      <c r="B960" s="2" t="s">
        <v>14</v>
      </c>
      <c r="C960" s="2" t="s">
        <v>13</v>
      </c>
      <c r="D960">
        <v>1060</v>
      </c>
      <c r="E960">
        <v>12</v>
      </c>
      <c r="F960">
        <v>2005</v>
      </c>
      <c r="G960">
        <v>0</v>
      </c>
      <c r="H960">
        <v>0</v>
      </c>
      <c r="I960">
        <v>0</v>
      </c>
      <c r="J960" s="2" t="s">
        <v>15</v>
      </c>
    </row>
    <row r="961" spans="1:10" x14ac:dyDescent="0.2">
      <c r="A961">
        <v>960</v>
      </c>
      <c r="B961" s="2" t="s">
        <v>17</v>
      </c>
      <c r="C961" s="2" t="s">
        <v>14</v>
      </c>
      <c r="D961">
        <v>8990</v>
      </c>
      <c r="G961">
        <v>1</v>
      </c>
      <c r="H961">
        <v>31</v>
      </c>
      <c r="I961">
        <v>2009</v>
      </c>
      <c r="J961" s="2" t="s">
        <v>18</v>
      </c>
    </row>
    <row r="962" spans="1:10" x14ac:dyDescent="0.2">
      <c r="A962">
        <v>961</v>
      </c>
      <c r="B962" s="2" t="s">
        <v>17</v>
      </c>
      <c r="C962" s="2" t="s">
        <v>13</v>
      </c>
      <c r="D962">
        <v>9430</v>
      </c>
      <c r="G962">
        <v>0</v>
      </c>
      <c r="H962">
        <v>0</v>
      </c>
      <c r="I962">
        <v>0</v>
      </c>
      <c r="J962" s="2" t="s">
        <v>15</v>
      </c>
    </row>
    <row r="963" spans="1:10" x14ac:dyDescent="0.2">
      <c r="A963">
        <v>962</v>
      </c>
      <c r="B963" s="2" t="s">
        <v>13</v>
      </c>
      <c r="C963" s="2" t="s">
        <v>14</v>
      </c>
      <c r="D963">
        <v>260</v>
      </c>
      <c r="G963">
        <v>0</v>
      </c>
      <c r="H963">
        <v>0</v>
      </c>
      <c r="I963">
        <v>0</v>
      </c>
      <c r="J963" s="2" t="s">
        <v>15</v>
      </c>
    </row>
    <row r="964" spans="1:10" x14ac:dyDescent="0.2">
      <c r="A964">
        <v>963</v>
      </c>
      <c r="B964" s="2" t="s">
        <v>14</v>
      </c>
      <c r="C964" s="2" t="s">
        <v>13</v>
      </c>
      <c r="D964">
        <v>23620</v>
      </c>
      <c r="E964">
        <v>11</v>
      </c>
      <c r="F964">
        <v>2013</v>
      </c>
      <c r="G964">
        <v>0</v>
      </c>
      <c r="H964">
        <v>0</v>
      </c>
      <c r="I964">
        <v>0</v>
      </c>
      <c r="J964" s="2" t="s">
        <v>15</v>
      </c>
    </row>
    <row r="965" spans="1:10" x14ac:dyDescent="0.2">
      <c r="A965">
        <v>964</v>
      </c>
      <c r="B965" s="2" t="s">
        <v>14</v>
      </c>
      <c r="C965" s="2" t="s">
        <v>14</v>
      </c>
      <c r="D965">
        <v>270</v>
      </c>
      <c r="G965">
        <v>1</v>
      </c>
      <c r="H965">
        <v>5</v>
      </c>
      <c r="I965">
        <v>2013</v>
      </c>
      <c r="J965" s="2" t="s">
        <v>18</v>
      </c>
    </row>
    <row r="966" spans="1:10" x14ac:dyDescent="0.2">
      <c r="A966">
        <v>965</v>
      </c>
      <c r="B966" s="2" t="s">
        <v>14</v>
      </c>
      <c r="C966" s="2" t="s">
        <v>13</v>
      </c>
      <c r="D966">
        <v>110</v>
      </c>
      <c r="G966">
        <v>0</v>
      </c>
      <c r="H966">
        <v>0</v>
      </c>
      <c r="I966">
        <v>0</v>
      </c>
      <c r="J966" s="2" t="s">
        <v>15</v>
      </c>
    </row>
    <row r="967" spans="1:10" x14ac:dyDescent="0.2">
      <c r="A967">
        <v>966</v>
      </c>
      <c r="B967" s="2" t="s">
        <v>14</v>
      </c>
      <c r="C967" s="2" t="s">
        <v>14</v>
      </c>
      <c r="D967">
        <v>760</v>
      </c>
      <c r="E967">
        <v>2</v>
      </c>
      <c r="F967">
        <v>2008</v>
      </c>
      <c r="G967">
        <v>0</v>
      </c>
      <c r="H967">
        <v>0</v>
      </c>
      <c r="I967">
        <v>0</v>
      </c>
      <c r="J967" s="2" t="s">
        <v>15</v>
      </c>
    </row>
    <row r="968" spans="1:10" x14ac:dyDescent="0.2">
      <c r="A968">
        <v>967</v>
      </c>
      <c r="B968" s="2" t="s">
        <v>14</v>
      </c>
      <c r="C968" s="2" t="s">
        <v>13</v>
      </c>
      <c r="D968">
        <v>3560</v>
      </c>
      <c r="E968">
        <v>9</v>
      </c>
      <c r="F968">
        <v>2013</v>
      </c>
      <c r="G968">
        <v>1</v>
      </c>
      <c r="H968">
        <v>36</v>
      </c>
      <c r="I968">
        <v>2013</v>
      </c>
      <c r="J968" s="2" t="s">
        <v>16</v>
      </c>
    </row>
    <row r="969" spans="1:10" x14ac:dyDescent="0.2">
      <c r="A969">
        <v>968</v>
      </c>
      <c r="B969" s="2" t="s">
        <v>13</v>
      </c>
      <c r="C969" s="2" t="s">
        <v>14</v>
      </c>
      <c r="D969">
        <v>1190</v>
      </c>
      <c r="G969">
        <v>0</v>
      </c>
      <c r="H969">
        <v>0</v>
      </c>
      <c r="I969">
        <v>0</v>
      </c>
      <c r="J969" s="2" t="s">
        <v>15</v>
      </c>
    </row>
    <row r="970" spans="1:10" x14ac:dyDescent="0.2">
      <c r="A970">
        <v>969</v>
      </c>
      <c r="B970" s="2" t="s">
        <v>14</v>
      </c>
      <c r="C970" s="2" t="s">
        <v>13</v>
      </c>
      <c r="D970">
        <v>600</v>
      </c>
      <c r="E970">
        <v>11</v>
      </c>
      <c r="F970">
        <v>1999</v>
      </c>
      <c r="G970">
        <v>1</v>
      </c>
      <c r="H970">
        <v>10</v>
      </c>
      <c r="I970">
        <v>2013</v>
      </c>
      <c r="J970" s="2" t="s">
        <v>16</v>
      </c>
    </row>
    <row r="971" spans="1:10" x14ac:dyDescent="0.2">
      <c r="A971">
        <v>970</v>
      </c>
      <c r="B971" s="2" t="s">
        <v>14</v>
      </c>
      <c r="C971" s="2" t="s">
        <v>14</v>
      </c>
      <c r="D971">
        <v>910</v>
      </c>
      <c r="E971">
        <v>12</v>
      </c>
      <c r="F971">
        <v>2014</v>
      </c>
      <c r="G971">
        <v>1</v>
      </c>
      <c r="H971">
        <v>37</v>
      </c>
      <c r="I971">
        <v>2009</v>
      </c>
      <c r="J971" s="2" t="s">
        <v>16</v>
      </c>
    </row>
    <row r="972" spans="1:10" x14ac:dyDescent="0.2">
      <c r="A972">
        <v>971</v>
      </c>
      <c r="B972" s="2" t="s">
        <v>13</v>
      </c>
      <c r="C972" s="2" t="s">
        <v>14</v>
      </c>
      <c r="D972">
        <v>1140</v>
      </c>
      <c r="E972">
        <v>5</v>
      </c>
      <c r="F972">
        <v>2011</v>
      </c>
      <c r="G972">
        <v>1</v>
      </c>
      <c r="H972">
        <v>14</v>
      </c>
      <c r="I972">
        <v>2012</v>
      </c>
      <c r="J972" s="2" t="s">
        <v>19</v>
      </c>
    </row>
    <row r="973" spans="1:10" x14ac:dyDescent="0.2">
      <c r="A973">
        <v>972</v>
      </c>
      <c r="B973" s="2" t="s">
        <v>14</v>
      </c>
      <c r="C973" s="2" t="s">
        <v>14</v>
      </c>
      <c r="D973">
        <v>14960</v>
      </c>
      <c r="G973">
        <v>0</v>
      </c>
      <c r="H973">
        <v>0</v>
      </c>
      <c r="I973">
        <v>0</v>
      </c>
      <c r="J973" s="2" t="s">
        <v>15</v>
      </c>
    </row>
    <row r="974" spans="1:10" x14ac:dyDescent="0.2">
      <c r="A974">
        <v>973</v>
      </c>
      <c r="B974" s="2" t="s">
        <v>17</v>
      </c>
      <c r="C974" s="2" t="s">
        <v>13</v>
      </c>
      <c r="D974">
        <v>330</v>
      </c>
      <c r="G974">
        <v>1</v>
      </c>
      <c r="H974">
        <v>28</v>
      </c>
      <c r="I974">
        <v>2012</v>
      </c>
      <c r="J974" s="2" t="s">
        <v>16</v>
      </c>
    </row>
    <row r="975" spans="1:10" x14ac:dyDescent="0.2">
      <c r="A975">
        <v>974</v>
      </c>
      <c r="B975" s="2" t="s">
        <v>14</v>
      </c>
      <c r="C975" s="2" t="s">
        <v>14</v>
      </c>
      <c r="D975">
        <v>150</v>
      </c>
      <c r="E975">
        <v>3</v>
      </c>
      <c r="F975">
        <v>2011</v>
      </c>
      <c r="G975">
        <v>1</v>
      </c>
      <c r="H975">
        <v>40</v>
      </c>
      <c r="I975">
        <v>2014</v>
      </c>
      <c r="J975" s="2" t="s">
        <v>16</v>
      </c>
    </row>
    <row r="976" spans="1:10" x14ac:dyDescent="0.2">
      <c r="A976">
        <v>975</v>
      </c>
      <c r="B976" s="2" t="s">
        <v>14</v>
      </c>
      <c r="C976" s="2" t="s">
        <v>13</v>
      </c>
      <c r="D976">
        <v>9630</v>
      </c>
      <c r="G976">
        <v>1</v>
      </c>
      <c r="H976">
        <v>14</v>
      </c>
      <c r="I976">
        <v>2011</v>
      </c>
      <c r="J976" s="2" t="s">
        <v>16</v>
      </c>
    </row>
    <row r="977" spans="1:10" x14ac:dyDescent="0.2">
      <c r="A977">
        <v>976</v>
      </c>
      <c r="B977" s="2" t="s">
        <v>14</v>
      </c>
      <c r="C977" s="2" t="s">
        <v>14</v>
      </c>
      <c r="D977">
        <v>4180</v>
      </c>
      <c r="G977">
        <v>0</v>
      </c>
      <c r="H977">
        <v>0</v>
      </c>
      <c r="I977">
        <v>0</v>
      </c>
      <c r="J977" s="2" t="s">
        <v>15</v>
      </c>
    </row>
    <row r="978" spans="1:10" x14ac:dyDescent="0.2">
      <c r="A978">
        <v>977</v>
      </c>
      <c r="B978" s="2" t="s">
        <v>14</v>
      </c>
      <c r="C978" s="2" t="s">
        <v>14</v>
      </c>
      <c r="D978">
        <v>520</v>
      </c>
      <c r="E978">
        <v>9</v>
      </c>
      <c r="F978">
        <v>2005</v>
      </c>
      <c r="G978">
        <v>1</v>
      </c>
      <c r="H978">
        <v>13</v>
      </c>
      <c r="I978">
        <v>2010</v>
      </c>
      <c r="J978" s="2" t="s">
        <v>16</v>
      </c>
    </row>
    <row r="979" spans="1:10" x14ac:dyDescent="0.2">
      <c r="A979">
        <v>978</v>
      </c>
      <c r="B979" s="2" t="s">
        <v>13</v>
      </c>
      <c r="C979" s="2" t="s">
        <v>13</v>
      </c>
      <c r="D979">
        <v>3890</v>
      </c>
      <c r="G979">
        <v>0</v>
      </c>
      <c r="H979">
        <v>0</v>
      </c>
      <c r="I979">
        <v>0</v>
      </c>
      <c r="J979" s="2" t="s">
        <v>15</v>
      </c>
    </row>
    <row r="980" spans="1:10" x14ac:dyDescent="0.2">
      <c r="A980">
        <v>979</v>
      </c>
      <c r="B980" s="2" t="s">
        <v>14</v>
      </c>
      <c r="C980" s="2" t="s">
        <v>13</v>
      </c>
      <c r="D980">
        <v>2270</v>
      </c>
      <c r="E980">
        <v>11</v>
      </c>
      <c r="F980">
        <v>2005</v>
      </c>
      <c r="G980">
        <v>1</v>
      </c>
      <c r="H980">
        <v>14</v>
      </c>
      <c r="I980">
        <v>2011</v>
      </c>
      <c r="J980" s="2" t="s">
        <v>16</v>
      </c>
    </row>
    <row r="981" spans="1:10" x14ac:dyDescent="0.2">
      <c r="A981">
        <v>980</v>
      </c>
      <c r="B981" s="2" t="s">
        <v>14</v>
      </c>
      <c r="C981" s="2" t="s">
        <v>14</v>
      </c>
      <c r="D981">
        <v>4420</v>
      </c>
      <c r="E981">
        <v>9</v>
      </c>
      <c r="F981">
        <v>2005</v>
      </c>
      <c r="G981">
        <v>0</v>
      </c>
      <c r="H981">
        <v>0</v>
      </c>
      <c r="I981">
        <v>0</v>
      </c>
      <c r="J981" s="2" t="s">
        <v>15</v>
      </c>
    </row>
    <row r="982" spans="1:10" x14ac:dyDescent="0.2">
      <c r="A982">
        <v>981</v>
      </c>
      <c r="B982" s="2" t="s">
        <v>17</v>
      </c>
      <c r="C982" s="2" t="s">
        <v>13</v>
      </c>
      <c r="D982">
        <v>2620</v>
      </c>
      <c r="E982">
        <v>11</v>
      </c>
      <c r="F982">
        <v>2002</v>
      </c>
      <c r="G982">
        <v>0</v>
      </c>
      <c r="H982">
        <v>0</v>
      </c>
      <c r="I982">
        <v>0</v>
      </c>
      <c r="J982" s="2" t="s">
        <v>15</v>
      </c>
    </row>
    <row r="983" spans="1:10" x14ac:dyDescent="0.2">
      <c r="A983">
        <v>982</v>
      </c>
      <c r="B983" s="2" t="s">
        <v>17</v>
      </c>
      <c r="C983" s="2" t="s">
        <v>14</v>
      </c>
      <c r="D983">
        <v>21930</v>
      </c>
      <c r="G983">
        <v>0</v>
      </c>
      <c r="H983">
        <v>0</v>
      </c>
      <c r="I983">
        <v>0</v>
      </c>
      <c r="J983" s="2" t="s">
        <v>15</v>
      </c>
    </row>
    <row r="984" spans="1:10" x14ac:dyDescent="0.2">
      <c r="A984">
        <v>983</v>
      </c>
      <c r="B984" s="2" t="s">
        <v>14</v>
      </c>
      <c r="C984" s="2" t="s">
        <v>14</v>
      </c>
      <c r="D984">
        <v>40</v>
      </c>
      <c r="E984">
        <v>3</v>
      </c>
      <c r="F984">
        <v>2014</v>
      </c>
      <c r="G984">
        <v>1</v>
      </c>
      <c r="H984">
        <v>1</v>
      </c>
      <c r="I984">
        <v>2014</v>
      </c>
      <c r="J984" s="2" t="s">
        <v>16</v>
      </c>
    </row>
    <row r="985" spans="1:10" x14ac:dyDescent="0.2">
      <c r="A985">
        <v>984</v>
      </c>
      <c r="B985" s="2" t="s">
        <v>13</v>
      </c>
      <c r="C985" s="2" t="s">
        <v>14</v>
      </c>
      <c r="D985">
        <v>440</v>
      </c>
      <c r="G985">
        <v>1</v>
      </c>
      <c r="H985">
        <v>1</v>
      </c>
      <c r="I985">
        <v>2013</v>
      </c>
      <c r="J985" s="2" t="s">
        <v>16</v>
      </c>
    </row>
    <row r="986" spans="1:10" x14ac:dyDescent="0.2">
      <c r="A986">
        <v>985</v>
      </c>
      <c r="B986" s="2" t="s">
        <v>13</v>
      </c>
      <c r="C986" s="2" t="s">
        <v>13</v>
      </c>
      <c r="D986">
        <v>490</v>
      </c>
      <c r="E986">
        <v>5</v>
      </c>
      <c r="F986">
        <v>2007</v>
      </c>
      <c r="G986">
        <v>1</v>
      </c>
      <c r="H986">
        <v>13</v>
      </c>
      <c r="I986">
        <v>2010</v>
      </c>
      <c r="J986" s="2" t="s">
        <v>16</v>
      </c>
    </row>
    <row r="987" spans="1:10" x14ac:dyDescent="0.2">
      <c r="A987">
        <v>986</v>
      </c>
      <c r="B987" s="2" t="s">
        <v>14</v>
      </c>
      <c r="C987" s="2" t="s">
        <v>14</v>
      </c>
      <c r="D987">
        <v>620</v>
      </c>
      <c r="E987">
        <v>10</v>
      </c>
      <c r="F987">
        <v>2014</v>
      </c>
      <c r="G987">
        <v>1</v>
      </c>
      <c r="H987">
        <v>18</v>
      </c>
      <c r="I987">
        <v>2014</v>
      </c>
      <c r="J987" s="2" t="s">
        <v>18</v>
      </c>
    </row>
    <row r="988" spans="1:10" x14ac:dyDescent="0.2">
      <c r="A988">
        <v>987</v>
      </c>
      <c r="B988" s="2" t="s">
        <v>13</v>
      </c>
      <c r="C988" s="2" t="s">
        <v>14</v>
      </c>
      <c r="D988">
        <v>1690</v>
      </c>
      <c r="E988">
        <v>6</v>
      </c>
      <c r="F988">
        <v>2007</v>
      </c>
      <c r="G988">
        <v>0</v>
      </c>
      <c r="H988">
        <v>0</v>
      </c>
      <c r="I988">
        <v>0</v>
      </c>
      <c r="J988" s="2" t="s">
        <v>15</v>
      </c>
    </row>
    <row r="989" spans="1:10" x14ac:dyDescent="0.2">
      <c r="A989">
        <v>988</v>
      </c>
      <c r="B989" s="2" t="s">
        <v>14</v>
      </c>
      <c r="C989" s="2" t="s">
        <v>14</v>
      </c>
      <c r="D989">
        <v>30</v>
      </c>
      <c r="E989">
        <v>11</v>
      </c>
      <c r="F989">
        <v>2012</v>
      </c>
      <c r="G989">
        <v>0</v>
      </c>
      <c r="H989">
        <v>0</v>
      </c>
      <c r="I989">
        <v>0</v>
      </c>
      <c r="J989" s="2" t="s">
        <v>15</v>
      </c>
    </row>
    <row r="990" spans="1:10" x14ac:dyDescent="0.2">
      <c r="A990">
        <v>989</v>
      </c>
      <c r="B990" s="2" t="s">
        <v>14</v>
      </c>
      <c r="C990" s="2" t="s">
        <v>14</v>
      </c>
      <c r="D990">
        <v>1640</v>
      </c>
      <c r="E990">
        <v>6</v>
      </c>
      <c r="F990">
        <v>2006</v>
      </c>
      <c r="G990">
        <v>1</v>
      </c>
      <c r="H990">
        <v>40</v>
      </c>
      <c r="I990">
        <v>2011</v>
      </c>
      <c r="J990" s="2" t="s">
        <v>16</v>
      </c>
    </row>
    <row r="991" spans="1:10" x14ac:dyDescent="0.2">
      <c r="A991">
        <v>990</v>
      </c>
      <c r="B991" s="2" t="s">
        <v>17</v>
      </c>
      <c r="C991" s="2" t="s">
        <v>14</v>
      </c>
      <c r="D991">
        <v>20930</v>
      </c>
      <c r="G991">
        <v>0</v>
      </c>
      <c r="H991">
        <v>0</v>
      </c>
      <c r="I991">
        <v>0</v>
      </c>
      <c r="J991" s="2" t="s">
        <v>15</v>
      </c>
    </row>
    <row r="992" spans="1:10" x14ac:dyDescent="0.2">
      <c r="A992">
        <v>991</v>
      </c>
      <c r="B992" s="2" t="s">
        <v>14</v>
      </c>
      <c r="C992" s="2" t="s">
        <v>14</v>
      </c>
      <c r="D992">
        <v>1010</v>
      </c>
      <c r="G992">
        <v>0</v>
      </c>
      <c r="H992">
        <v>0</v>
      </c>
      <c r="I992">
        <v>0</v>
      </c>
      <c r="J992" s="2" t="s">
        <v>15</v>
      </c>
    </row>
    <row r="993" spans="1:10" x14ac:dyDescent="0.2">
      <c r="A993">
        <v>992</v>
      </c>
      <c r="B993" s="2" t="s">
        <v>14</v>
      </c>
      <c r="C993" s="2" t="s">
        <v>14</v>
      </c>
      <c r="D993">
        <v>2480</v>
      </c>
      <c r="E993">
        <v>7</v>
      </c>
      <c r="F993">
        <v>1990</v>
      </c>
      <c r="G993">
        <v>0</v>
      </c>
      <c r="H993">
        <v>0</v>
      </c>
      <c r="I993">
        <v>0</v>
      </c>
      <c r="J993" s="2" t="s">
        <v>15</v>
      </c>
    </row>
    <row r="994" spans="1:10" x14ac:dyDescent="0.2">
      <c r="A994">
        <v>993</v>
      </c>
      <c r="B994" s="2" t="s">
        <v>17</v>
      </c>
      <c r="C994" s="2" t="s">
        <v>13</v>
      </c>
      <c r="D994">
        <v>3460</v>
      </c>
      <c r="E994">
        <v>10</v>
      </c>
      <c r="F994">
        <v>2013</v>
      </c>
      <c r="G994">
        <v>1</v>
      </c>
      <c r="H994">
        <v>10</v>
      </c>
      <c r="I994">
        <v>2014</v>
      </c>
      <c r="J994" s="2" t="s">
        <v>16</v>
      </c>
    </row>
    <row r="995" spans="1:10" x14ac:dyDescent="0.2">
      <c r="A995">
        <v>994</v>
      </c>
      <c r="B995" s="2" t="s">
        <v>14</v>
      </c>
      <c r="C995" s="2" t="s">
        <v>14</v>
      </c>
      <c r="D995">
        <v>2290</v>
      </c>
      <c r="E995">
        <v>7</v>
      </c>
      <c r="F995">
        <v>2011</v>
      </c>
      <c r="G995">
        <v>1</v>
      </c>
      <c r="H995">
        <v>1</v>
      </c>
      <c r="I995">
        <v>2012</v>
      </c>
      <c r="J995" s="2" t="s">
        <v>16</v>
      </c>
    </row>
    <row r="996" spans="1:10" x14ac:dyDescent="0.2">
      <c r="A996">
        <v>995</v>
      </c>
      <c r="B996" s="2" t="s">
        <v>17</v>
      </c>
      <c r="C996" s="2" t="s">
        <v>14</v>
      </c>
      <c r="D996">
        <v>6560</v>
      </c>
      <c r="E996">
        <v>12</v>
      </c>
      <c r="F996">
        <v>2013</v>
      </c>
      <c r="G996">
        <v>0</v>
      </c>
      <c r="H996">
        <v>0</v>
      </c>
      <c r="I996">
        <v>0</v>
      </c>
      <c r="J996" s="2" t="s">
        <v>15</v>
      </c>
    </row>
    <row r="997" spans="1:10" x14ac:dyDescent="0.2">
      <c r="A997">
        <v>996</v>
      </c>
      <c r="B997" s="2" t="s">
        <v>13</v>
      </c>
      <c r="C997" s="2" t="s">
        <v>14</v>
      </c>
      <c r="D997">
        <v>2870</v>
      </c>
      <c r="E997">
        <v>7</v>
      </c>
      <c r="F997">
        <v>2015</v>
      </c>
      <c r="G997">
        <v>1</v>
      </c>
      <c r="H997">
        <v>13</v>
      </c>
      <c r="I997">
        <v>2010</v>
      </c>
      <c r="J997" s="2" t="s">
        <v>16</v>
      </c>
    </row>
    <row r="998" spans="1:10" x14ac:dyDescent="0.2">
      <c r="A998">
        <v>997</v>
      </c>
      <c r="B998" s="2" t="s">
        <v>17</v>
      </c>
      <c r="C998" s="2" t="s">
        <v>13</v>
      </c>
      <c r="D998">
        <v>5840</v>
      </c>
      <c r="E998">
        <v>7</v>
      </c>
      <c r="F998">
        <v>2010</v>
      </c>
      <c r="G998">
        <v>1</v>
      </c>
      <c r="H998">
        <v>37</v>
      </c>
      <c r="I998">
        <v>2009</v>
      </c>
      <c r="J998" s="2" t="s">
        <v>16</v>
      </c>
    </row>
    <row r="999" spans="1:10" x14ac:dyDescent="0.2">
      <c r="A999">
        <v>998</v>
      </c>
      <c r="B999" s="2" t="s">
        <v>14</v>
      </c>
      <c r="C999" s="2" t="s">
        <v>14</v>
      </c>
      <c r="D999">
        <v>780</v>
      </c>
      <c r="E999">
        <v>9</v>
      </c>
      <c r="F999">
        <v>2005</v>
      </c>
      <c r="G999">
        <v>1</v>
      </c>
      <c r="H999">
        <v>5</v>
      </c>
      <c r="I999">
        <v>2013</v>
      </c>
      <c r="J999" s="2" t="s">
        <v>18</v>
      </c>
    </row>
    <row r="1000" spans="1:10" x14ac:dyDescent="0.2">
      <c r="A1000">
        <v>999</v>
      </c>
      <c r="B1000" s="2" t="s">
        <v>17</v>
      </c>
      <c r="C1000" s="2" t="s">
        <v>13</v>
      </c>
      <c r="D1000">
        <v>15140</v>
      </c>
      <c r="E1000">
        <v>2</v>
      </c>
      <c r="F1000">
        <v>2002</v>
      </c>
      <c r="G1000">
        <v>1</v>
      </c>
      <c r="H1000">
        <v>37</v>
      </c>
      <c r="I1000">
        <v>2009</v>
      </c>
      <c r="J1000" s="2" t="s">
        <v>16</v>
      </c>
    </row>
    <row r="1001" spans="1:10" x14ac:dyDescent="0.2">
      <c r="A1001">
        <v>1000</v>
      </c>
      <c r="B1001" s="2" t="s">
        <v>14</v>
      </c>
      <c r="C1001" s="2" t="s">
        <v>13</v>
      </c>
      <c r="D1001">
        <v>2230</v>
      </c>
      <c r="E1001">
        <v>5</v>
      </c>
      <c r="F1001">
        <v>2009</v>
      </c>
      <c r="G1001">
        <v>1</v>
      </c>
      <c r="H1001">
        <v>40</v>
      </c>
      <c r="I1001">
        <v>2014</v>
      </c>
      <c r="J1001" s="2" t="s">
        <v>16</v>
      </c>
    </row>
    <row r="1002" spans="1:10" x14ac:dyDescent="0.2">
      <c r="A1002">
        <v>1001</v>
      </c>
      <c r="B1002" s="2" t="s">
        <v>13</v>
      </c>
      <c r="C1002" s="2" t="s">
        <v>14</v>
      </c>
      <c r="D1002">
        <v>19640</v>
      </c>
      <c r="G1002">
        <v>1</v>
      </c>
      <c r="H1002">
        <v>14</v>
      </c>
      <c r="I1002">
        <v>2011</v>
      </c>
      <c r="J1002" s="2" t="s">
        <v>16</v>
      </c>
    </row>
    <row r="1003" spans="1:10" x14ac:dyDescent="0.2">
      <c r="A1003">
        <v>1002</v>
      </c>
      <c r="B1003" s="2" t="s">
        <v>17</v>
      </c>
      <c r="C1003" s="2" t="s">
        <v>13</v>
      </c>
      <c r="D1003">
        <v>1130</v>
      </c>
      <c r="E1003">
        <v>11</v>
      </c>
      <c r="F1003">
        <v>2008</v>
      </c>
      <c r="G1003">
        <v>0</v>
      </c>
      <c r="H1003">
        <v>0</v>
      </c>
      <c r="I1003">
        <v>0</v>
      </c>
      <c r="J1003" s="2" t="s">
        <v>15</v>
      </c>
    </row>
    <row r="1004" spans="1:10" x14ac:dyDescent="0.2">
      <c r="A1004">
        <v>1003</v>
      </c>
      <c r="B1004" s="2" t="s">
        <v>14</v>
      </c>
      <c r="C1004" s="2" t="s">
        <v>14</v>
      </c>
      <c r="D1004">
        <v>170</v>
      </c>
      <c r="E1004">
        <v>7</v>
      </c>
      <c r="F1004">
        <v>2013</v>
      </c>
      <c r="G1004">
        <v>1</v>
      </c>
      <c r="H1004">
        <v>27</v>
      </c>
      <c r="I1004">
        <v>2013</v>
      </c>
      <c r="J1004" s="2" t="s">
        <v>16</v>
      </c>
    </row>
    <row r="1005" spans="1:10" x14ac:dyDescent="0.2">
      <c r="A1005">
        <v>1004</v>
      </c>
      <c r="B1005" s="2" t="s">
        <v>17</v>
      </c>
      <c r="C1005" s="2" t="s">
        <v>13</v>
      </c>
      <c r="D1005">
        <v>970</v>
      </c>
      <c r="G1005">
        <v>1</v>
      </c>
      <c r="H1005">
        <v>9</v>
      </c>
      <c r="I1005">
        <v>2011</v>
      </c>
      <c r="J1005" s="2" t="s">
        <v>19</v>
      </c>
    </row>
    <row r="1006" spans="1:10" x14ac:dyDescent="0.2">
      <c r="A1006">
        <v>1005</v>
      </c>
      <c r="B1006" s="2" t="s">
        <v>14</v>
      </c>
      <c r="C1006" s="2" t="s">
        <v>14</v>
      </c>
      <c r="D1006">
        <v>6480</v>
      </c>
      <c r="G1006">
        <v>0</v>
      </c>
      <c r="H1006">
        <v>0</v>
      </c>
      <c r="I1006">
        <v>0</v>
      </c>
      <c r="J1006" s="2" t="s">
        <v>15</v>
      </c>
    </row>
    <row r="1007" spans="1:10" x14ac:dyDescent="0.2">
      <c r="A1007">
        <v>1006</v>
      </c>
      <c r="B1007" s="2" t="s">
        <v>13</v>
      </c>
      <c r="C1007" s="2" t="s">
        <v>13</v>
      </c>
      <c r="D1007">
        <v>3890</v>
      </c>
      <c r="E1007">
        <v>11</v>
      </c>
      <c r="F1007">
        <v>2006</v>
      </c>
      <c r="G1007">
        <v>1</v>
      </c>
      <c r="H1007">
        <v>5</v>
      </c>
      <c r="I1007">
        <v>2013</v>
      </c>
      <c r="J1007" s="2" t="s">
        <v>18</v>
      </c>
    </row>
    <row r="1008" spans="1:10" x14ac:dyDescent="0.2">
      <c r="A1008">
        <v>1007</v>
      </c>
      <c r="B1008" s="2" t="s">
        <v>13</v>
      </c>
      <c r="C1008" s="2" t="s">
        <v>13</v>
      </c>
      <c r="D1008">
        <v>4180</v>
      </c>
      <c r="E1008">
        <v>9</v>
      </c>
      <c r="F1008">
        <v>2012</v>
      </c>
      <c r="G1008">
        <v>0</v>
      </c>
      <c r="H1008">
        <v>0</v>
      </c>
      <c r="I1008">
        <v>0</v>
      </c>
      <c r="J1008" s="2" t="s">
        <v>15</v>
      </c>
    </row>
    <row r="1009" spans="1:10" x14ac:dyDescent="0.2">
      <c r="A1009">
        <v>1008</v>
      </c>
      <c r="B1009" s="2" t="s">
        <v>14</v>
      </c>
      <c r="C1009" s="2" t="s">
        <v>13</v>
      </c>
      <c r="D1009">
        <v>30</v>
      </c>
      <c r="E1009">
        <v>9</v>
      </c>
      <c r="F1009">
        <v>2010</v>
      </c>
      <c r="G1009">
        <v>0</v>
      </c>
      <c r="H1009">
        <v>0</v>
      </c>
      <c r="I1009">
        <v>0</v>
      </c>
      <c r="J1009" s="2" t="s">
        <v>15</v>
      </c>
    </row>
    <row r="1010" spans="1:10" x14ac:dyDescent="0.2">
      <c r="A1010">
        <v>1009</v>
      </c>
      <c r="B1010" s="2" t="s">
        <v>14</v>
      </c>
      <c r="C1010" s="2" t="s">
        <v>14</v>
      </c>
      <c r="D1010">
        <v>230</v>
      </c>
      <c r="E1010">
        <v>7</v>
      </c>
      <c r="F1010">
        <v>2004</v>
      </c>
      <c r="G1010">
        <v>1</v>
      </c>
      <c r="H1010">
        <v>10</v>
      </c>
      <c r="I1010">
        <v>2014</v>
      </c>
      <c r="J1010" s="2" t="s">
        <v>16</v>
      </c>
    </row>
    <row r="1011" spans="1:10" x14ac:dyDescent="0.2">
      <c r="A1011">
        <v>1010</v>
      </c>
      <c r="B1011" s="2" t="s">
        <v>17</v>
      </c>
      <c r="C1011" s="2" t="s">
        <v>13</v>
      </c>
      <c r="D1011">
        <v>4610</v>
      </c>
      <c r="E1011">
        <v>6</v>
      </c>
      <c r="F1011">
        <v>2010</v>
      </c>
      <c r="G1011">
        <v>1</v>
      </c>
      <c r="H1011">
        <v>18</v>
      </c>
      <c r="I1011">
        <v>2010</v>
      </c>
      <c r="J1011" s="2" t="s">
        <v>18</v>
      </c>
    </row>
    <row r="1012" spans="1:10" x14ac:dyDescent="0.2">
      <c r="A1012">
        <v>1011</v>
      </c>
      <c r="B1012" s="2" t="s">
        <v>14</v>
      </c>
      <c r="C1012" s="2" t="s">
        <v>13</v>
      </c>
      <c r="D1012">
        <v>490</v>
      </c>
      <c r="E1012">
        <v>9</v>
      </c>
      <c r="F1012">
        <v>2012</v>
      </c>
      <c r="G1012">
        <v>1</v>
      </c>
      <c r="H1012">
        <v>18</v>
      </c>
      <c r="I1012">
        <v>2011</v>
      </c>
      <c r="J1012" s="2" t="s">
        <v>18</v>
      </c>
    </row>
    <row r="1013" spans="1:10" x14ac:dyDescent="0.2">
      <c r="A1013">
        <v>1012</v>
      </c>
      <c r="B1013" s="2" t="s">
        <v>17</v>
      </c>
      <c r="C1013" s="2" t="s">
        <v>13</v>
      </c>
      <c r="D1013">
        <v>6330</v>
      </c>
      <c r="E1013">
        <v>6</v>
      </c>
      <c r="F1013">
        <v>2004</v>
      </c>
      <c r="G1013">
        <v>1</v>
      </c>
      <c r="H1013">
        <v>39</v>
      </c>
      <c r="I1013">
        <v>2010</v>
      </c>
      <c r="J1013" s="2" t="s">
        <v>16</v>
      </c>
    </row>
    <row r="1014" spans="1:10" x14ac:dyDescent="0.2">
      <c r="A1014">
        <v>1013</v>
      </c>
      <c r="B1014" s="2" t="s">
        <v>14</v>
      </c>
      <c r="C1014" s="2" t="s">
        <v>14</v>
      </c>
      <c r="D1014">
        <v>630</v>
      </c>
      <c r="E1014">
        <v>2</v>
      </c>
      <c r="F1014">
        <v>2015</v>
      </c>
      <c r="G1014">
        <v>1</v>
      </c>
      <c r="H1014">
        <v>31</v>
      </c>
      <c r="I1014">
        <v>2013</v>
      </c>
      <c r="J1014" s="2" t="s">
        <v>18</v>
      </c>
    </row>
    <row r="1015" spans="1:10" x14ac:dyDescent="0.2">
      <c r="A1015">
        <v>1014</v>
      </c>
      <c r="B1015" s="2" t="s">
        <v>14</v>
      </c>
      <c r="C1015" s="2" t="s">
        <v>13</v>
      </c>
      <c r="D1015">
        <v>210</v>
      </c>
      <c r="G1015">
        <v>1</v>
      </c>
      <c r="H1015">
        <v>31</v>
      </c>
      <c r="I1015">
        <v>2013</v>
      </c>
      <c r="J1015" s="2" t="s">
        <v>16</v>
      </c>
    </row>
    <row r="1016" spans="1:10" x14ac:dyDescent="0.2">
      <c r="A1016">
        <v>1015</v>
      </c>
      <c r="B1016" s="2" t="s">
        <v>17</v>
      </c>
      <c r="C1016" s="2" t="s">
        <v>13</v>
      </c>
      <c r="D1016">
        <v>9910</v>
      </c>
      <c r="E1016">
        <v>12</v>
      </c>
      <c r="F1016">
        <v>2010</v>
      </c>
      <c r="G1016">
        <v>1</v>
      </c>
      <c r="H1016">
        <v>9</v>
      </c>
      <c r="I1016">
        <v>2011</v>
      </c>
      <c r="J1016" s="2" t="s">
        <v>19</v>
      </c>
    </row>
    <row r="1017" spans="1:10" x14ac:dyDescent="0.2">
      <c r="A1017">
        <v>1016</v>
      </c>
      <c r="B1017" s="2" t="s">
        <v>13</v>
      </c>
      <c r="C1017" s="2" t="s">
        <v>13</v>
      </c>
      <c r="D1017">
        <v>550</v>
      </c>
      <c r="G1017">
        <v>1</v>
      </c>
      <c r="H1017">
        <v>35</v>
      </c>
      <c r="I1017">
        <v>2010</v>
      </c>
      <c r="J1017" s="2" t="s">
        <v>19</v>
      </c>
    </row>
    <row r="1018" spans="1:10" x14ac:dyDescent="0.2">
      <c r="A1018">
        <v>1017</v>
      </c>
      <c r="B1018" s="2" t="s">
        <v>13</v>
      </c>
      <c r="C1018" s="2" t="s">
        <v>14</v>
      </c>
      <c r="D1018">
        <v>110</v>
      </c>
      <c r="E1018">
        <v>11</v>
      </c>
      <c r="F1018">
        <v>2008</v>
      </c>
      <c r="G1018">
        <v>0</v>
      </c>
      <c r="H1018">
        <v>0</v>
      </c>
      <c r="I1018">
        <v>0</v>
      </c>
      <c r="J1018" s="2" t="s">
        <v>15</v>
      </c>
    </row>
    <row r="1019" spans="1:10" x14ac:dyDescent="0.2">
      <c r="A1019">
        <v>1018</v>
      </c>
      <c r="B1019" s="2" t="s">
        <v>13</v>
      </c>
      <c r="C1019" s="2" t="s">
        <v>13</v>
      </c>
      <c r="D1019">
        <v>140</v>
      </c>
      <c r="E1019">
        <v>9</v>
      </c>
      <c r="F1019">
        <v>2012</v>
      </c>
      <c r="G1019">
        <v>0</v>
      </c>
      <c r="H1019">
        <v>0</v>
      </c>
      <c r="I1019">
        <v>0</v>
      </c>
      <c r="J1019" s="2" t="s">
        <v>15</v>
      </c>
    </row>
    <row r="1020" spans="1:10" x14ac:dyDescent="0.2">
      <c r="A1020">
        <v>1019</v>
      </c>
      <c r="B1020" s="2" t="s">
        <v>17</v>
      </c>
      <c r="C1020" s="2" t="s">
        <v>13</v>
      </c>
      <c r="D1020">
        <v>2740</v>
      </c>
      <c r="E1020">
        <v>7</v>
      </c>
      <c r="F1020">
        <v>2014</v>
      </c>
      <c r="G1020">
        <v>1</v>
      </c>
      <c r="H1020">
        <v>13</v>
      </c>
      <c r="I1020">
        <v>2010</v>
      </c>
      <c r="J1020" s="2" t="s">
        <v>16</v>
      </c>
    </row>
    <row r="1021" spans="1:10" x14ac:dyDescent="0.2">
      <c r="A1021">
        <v>1020</v>
      </c>
      <c r="B1021" s="2" t="s">
        <v>14</v>
      </c>
      <c r="C1021" s="2" t="s">
        <v>14</v>
      </c>
      <c r="D1021">
        <v>40</v>
      </c>
      <c r="E1021">
        <v>8</v>
      </c>
      <c r="F1021">
        <v>2015</v>
      </c>
      <c r="G1021">
        <v>0</v>
      </c>
      <c r="H1021">
        <v>0</v>
      </c>
      <c r="I1021">
        <v>0</v>
      </c>
      <c r="J1021" s="2" t="s">
        <v>15</v>
      </c>
    </row>
    <row r="1022" spans="1:10" x14ac:dyDescent="0.2">
      <c r="A1022">
        <v>1021</v>
      </c>
      <c r="B1022" s="2" t="s">
        <v>14</v>
      </c>
      <c r="C1022" s="2" t="s">
        <v>14</v>
      </c>
      <c r="D1022">
        <v>1080</v>
      </c>
      <c r="E1022">
        <v>5</v>
      </c>
      <c r="F1022">
        <v>2011</v>
      </c>
      <c r="G1022">
        <v>0</v>
      </c>
      <c r="H1022">
        <v>0</v>
      </c>
      <c r="I1022">
        <v>0</v>
      </c>
      <c r="J1022" s="2" t="s">
        <v>15</v>
      </c>
    </row>
    <row r="1023" spans="1:10" x14ac:dyDescent="0.2">
      <c r="A1023">
        <v>1022</v>
      </c>
      <c r="B1023" s="2" t="s">
        <v>14</v>
      </c>
      <c r="C1023" s="2" t="s">
        <v>13</v>
      </c>
      <c r="D1023">
        <v>1520</v>
      </c>
      <c r="G1023">
        <v>0</v>
      </c>
      <c r="H1023">
        <v>0</v>
      </c>
      <c r="I1023">
        <v>0</v>
      </c>
      <c r="J1023" s="2" t="s">
        <v>15</v>
      </c>
    </row>
    <row r="1024" spans="1:10" x14ac:dyDescent="0.2">
      <c r="A1024">
        <v>1023</v>
      </c>
      <c r="B1024" s="2" t="s">
        <v>13</v>
      </c>
      <c r="C1024" s="2" t="s">
        <v>14</v>
      </c>
      <c r="D1024">
        <v>3740</v>
      </c>
      <c r="E1024">
        <v>2</v>
      </c>
      <c r="F1024">
        <v>2002</v>
      </c>
      <c r="G1024">
        <v>1</v>
      </c>
      <c r="H1024">
        <v>14</v>
      </c>
      <c r="I1024">
        <v>2011</v>
      </c>
      <c r="J1024" s="2" t="s">
        <v>16</v>
      </c>
    </row>
    <row r="1025" spans="1:10" x14ac:dyDescent="0.2">
      <c r="A1025">
        <v>1024</v>
      </c>
      <c r="B1025" s="2" t="s">
        <v>13</v>
      </c>
      <c r="C1025" s="2" t="s">
        <v>13</v>
      </c>
      <c r="D1025">
        <v>1990</v>
      </c>
      <c r="E1025">
        <v>1</v>
      </c>
      <c r="F1025">
        <v>2012</v>
      </c>
      <c r="G1025">
        <v>0</v>
      </c>
      <c r="H1025">
        <v>0</v>
      </c>
      <c r="I1025">
        <v>0</v>
      </c>
      <c r="J1025" s="2" t="s">
        <v>15</v>
      </c>
    </row>
    <row r="1026" spans="1:10" x14ac:dyDescent="0.2">
      <c r="A1026">
        <v>1025</v>
      </c>
      <c r="B1026" s="2" t="s">
        <v>14</v>
      </c>
      <c r="C1026" s="2" t="s">
        <v>14</v>
      </c>
      <c r="D1026">
        <v>720</v>
      </c>
      <c r="E1026">
        <v>11</v>
      </c>
      <c r="F1026">
        <v>2009</v>
      </c>
      <c r="G1026">
        <v>0</v>
      </c>
      <c r="H1026">
        <v>0</v>
      </c>
      <c r="I1026">
        <v>0</v>
      </c>
      <c r="J1026" s="2" t="s">
        <v>15</v>
      </c>
    </row>
    <row r="1027" spans="1:10" x14ac:dyDescent="0.2">
      <c r="A1027">
        <v>1026</v>
      </c>
      <c r="B1027" s="2" t="s">
        <v>13</v>
      </c>
      <c r="C1027" s="2" t="s">
        <v>14</v>
      </c>
      <c r="D1027">
        <v>450</v>
      </c>
      <c r="E1027">
        <v>6</v>
      </c>
      <c r="F1027">
        <v>2011</v>
      </c>
      <c r="G1027">
        <v>1</v>
      </c>
      <c r="H1027">
        <v>48</v>
      </c>
      <c r="I1027">
        <v>2012</v>
      </c>
      <c r="J1027" s="2" t="s">
        <v>19</v>
      </c>
    </row>
    <row r="1028" spans="1:10" x14ac:dyDescent="0.2">
      <c r="A1028">
        <v>1027</v>
      </c>
      <c r="B1028" s="2" t="s">
        <v>14</v>
      </c>
      <c r="C1028" s="2" t="s">
        <v>13</v>
      </c>
      <c r="D1028">
        <v>190</v>
      </c>
      <c r="E1028">
        <v>6</v>
      </c>
      <c r="F1028">
        <v>2008</v>
      </c>
      <c r="G1028">
        <v>1</v>
      </c>
      <c r="H1028">
        <v>40</v>
      </c>
      <c r="I1028">
        <v>2011</v>
      </c>
      <c r="J1028" s="2" t="s">
        <v>16</v>
      </c>
    </row>
    <row r="1029" spans="1:10" x14ac:dyDescent="0.2">
      <c r="A1029">
        <v>1028</v>
      </c>
      <c r="B1029" s="2" t="s">
        <v>14</v>
      </c>
      <c r="C1029" s="2" t="s">
        <v>14</v>
      </c>
      <c r="D1029">
        <v>150</v>
      </c>
      <c r="G1029">
        <v>1</v>
      </c>
      <c r="H1029">
        <v>31</v>
      </c>
      <c r="I1029">
        <v>2013</v>
      </c>
      <c r="J1029" s="2" t="s">
        <v>16</v>
      </c>
    </row>
    <row r="1030" spans="1:10" x14ac:dyDescent="0.2">
      <c r="A1030">
        <v>1029</v>
      </c>
      <c r="B1030" s="2" t="s">
        <v>14</v>
      </c>
      <c r="C1030" s="2" t="s">
        <v>14</v>
      </c>
      <c r="D1030">
        <v>1590</v>
      </c>
      <c r="E1030">
        <v>3</v>
      </c>
      <c r="F1030">
        <v>2006</v>
      </c>
      <c r="G1030">
        <v>0</v>
      </c>
      <c r="H1030">
        <v>0</v>
      </c>
      <c r="I1030">
        <v>0</v>
      </c>
      <c r="J1030" s="2" t="s">
        <v>15</v>
      </c>
    </row>
    <row r="1031" spans="1:10" x14ac:dyDescent="0.2">
      <c r="A1031">
        <v>1030</v>
      </c>
      <c r="B1031" s="2" t="s">
        <v>14</v>
      </c>
      <c r="C1031" s="2" t="s">
        <v>14</v>
      </c>
      <c r="D1031">
        <v>36410</v>
      </c>
      <c r="E1031">
        <v>4</v>
      </c>
      <c r="F1031">
        <v>2008</v>
      </c>
      <c r="G1031">
        <v>0</v>
      </c>
      <c r="H1031">
        <v>0</v>
      </c>
      <c r="I1031">
        <v>0</v>
      </c>
      <c r="J1031" s="2" t="s">
        <v>15</v>
      </c>
    </row>
    <row r="1032" spans="1:10" x14ac:dyDescent="0.2">
      <c r="A1032">
        <v>1031</v>
      </c>
      <c r="B1032" s="2" t="s">
        <v>17</v>
      </c>
      <c r="C1032" s="2" t="s">
        <v>14</v>
      </c>
      <c r="D1032">
        <v>590</v>
      </c>
      <c r="E1032">
        <v>5</v>
      </c>
      <c r="F1032">
        <v>2001</v>
      </c>
      <c r="G1032">
        <v>0</v>
      </c>
      <c r="H1032">
        <v>0</v>
      </c>
      <c r="I1032">
        <v>0</v>
      </c>
      <c r="J1032" s="2" t="s">
        <v>15</v>
      </c>
    </row>
    <row r="1033" spans="1:10" x14ac:dyDescent="0.2">
      <c r="A1033">
        <v>1032</v>
      </c>
      <c r="B1033" s="2" t="s">
        <v>17</v>
      </c>
      <c r="C1033" s="2" t="s">
        <v>13</v>
      </c>
      <c r="D1033">
        <v>270</v>
      </c>
      <c r="E1033">
        <v>2</v>
      </c>
      <c r="F1033">
        <v>2013</v>
      </c>
      <c r="G1033">
        <v>1</v>
      </c>
      <c r="H1033">
        <v>40</v>
      </c>
      <c r="I1033">
        <v>2012</v>
      </c>
      <c r="J1033" s="2" t="s">
        <v>16</v>
      </c>
    </row>
    <row r="1034" spans="1:10" x14ac:dyDescent="0.2">
      <c r="A1034">
        <v>1033</v>
      </c>
      <c r="B1034" s="2" t="s">
        <v>14</v>
      </c>
      <c r="C1034" s="2" t="s">
        <v>14</v>
      </c>
      <c r="D1034">
        <v>7680</v>
      </c>
      <c r="E1034">
        <v>3</v>
      </c>
      <c r="F1034">
        <v>2006</v>
      </c>
      <c r="G1034">
        <v>0</v>
      </c>
      <c r="H1034">
        <v>0</v>
      </c>
      <c r="I1034">
        <v>0</v>
      </c>
      <c r="J1034" s="2" t="s">
        <v>15</v>
      </c>
    </row>
    <row r="1035" spans="1:10" x14ac:dyDescent="0.2">
      <c r="A1035">
        <v>1034</v>
      </c>
      <c r="B1035" s="2" t="s">
        <v>14</v>
      </c>
      <c r="C1035" s="2" t="s">
        <v>14</v>
      </c>
      <c r="D1035">
        <v>13750</v>
      </c>
      <c r="E1035">
        <v>4</v>
      </c>
      <c r="F1035">
        <v>2015</v>
      </c>
      <c r="G1035">
        <v>0</v>
      </c>
      <c r="H1035">
        <v>0</v>
      </c>
      <c r="I1035">
        <v>0</v>
      </c>
      <c r="J1035" s="2" t="s">
        <v>15</v>
      </c>
    </row>
    <row r="1036" spans="1:10" x14ac:dyDescent="0.2">
      <c r="A1036">
        <v>1035</v>
      </c>
      <c r="B1036" s="2" t="s">
        <v>14</v>
      </c>
      <c r="C1036" s="2" t="s">
        <v>14</v>
      </c>
      <c r="D1036">
        <v>27150</v>
      </c>
      <c r="G1036">
        <v>0</v>
      </c>
      <c r="H1036">
        <v>0</v>
      </c>
      <c r="I1036">
        <v>0</v>
      </c>
      <c r="J1036" s="2" t="s">
        <v>15</v>
      </c>
    </row>
    <row r="1037" spans="1:10" x14ac:dyDescent="0.2">
      <c r="A1037">
        <v>1036</v>
      </c>
      <c r="B1037" s="2" t="s">
        <v>17</v>
      </c>
      <c r="C1037" s="2" t="s">
        <v>13</v>
      </c>
      <c r="D1037">
        <v>9560</v>
      </c>
      <c r="G1037">
        <v>1</v>
      </c>
      <c r="H1037">
        <v>36</v>
      </c>
      <c r="I1037">
        <v>2013</v>
      </c>
      <c r="J1037" s="2" t="s">
        <v>16</v>
      </c>
    </row>
    <row r="1038" spans="1:10" x14ac:dyDescent="0.2">
      <c r="A1038">
        <v>1037</v>
      </c>
      <c r="B1038" s="2" t="s">
        <v>14</v>
      </c>
      <c r="C1038" s="2" t="s">
        <v>13</v>
      </c>
      <c r="D1038">
        <v>150</v>
      </c>
      <c r="G1038">
        <v>0</v>
      </c>
      <c r="H1038">
        <v>0</v>
      </c>
      <c r="I1038">
        <v>0</v>
      </c>
      <c r="J1038" s="2" t="s">
        <v>15</v>
      </c>
    </row>
    <row r="1039" spans="1:10" x14ac:dyDescent="0.2">
      <c r="A1039">
        <v>1038</v>
      </c>
      <c r="B1039" s="2" t="s">
        <v>17</v>
      </c>
      <c r="C1039" s="2" t="s">
        <v>14</v>
      </c>
      <c r="D1039">
        <v>17290</v>
      </c>
      <c r="E1039">
        <v>10</v>
      </c>
      <c r="F1039">
        <v>2013</v>
      </c>
      <c r="G1039">
        <v>0</v>
      </c>
      <c r="H1039">
        <v>0</v>
      </c>
      <c r="I1039">
        <v>0</v>
      </c>
      <c r="J1039" s="2" t="s">
        <v>15</v>
      </c>
    </row>
    <row r="1040" spans="1:10" x14ac:dyDescent="0.2">
      <c r="A1040">
        <v>1039</v>
      </c>
      <c r="B1040" s="2" t="s">
        <v>14</v>
      </c>
      <c r="C1040" s="2" t="s">
        <v>13</v>
      </c>
      <c r="D1040">
        <v>70</v>
      </c>
      <c r="E1040">
        <v>6</v>
      </c>
      <c r="F1040">
        <v>1990</v>
      </c>
      <c r="G1040">
        <v>1</v>
      </c>
      <c r="H1040">
        <v>22</v>
      </c>
      <c r="I1040">
        <v>2012</v>
      </c>
      <c r="J1040" s="2" t="s">
        <v>19</v>
      </c>
    </row>
    <row r="1041" spans="1:10" x14ac:dyDescent="0.2">
      <c r="A1041">
        <v>1040</v>
      </c>
      <c r="B1041" s="2" t="s">
        <v>14</v>
      </c>
      <c r="C1041" s="2" t="s">
        <v>14</v>
      </c>
      <c r="D1041">
        <v>4030</v>
      </c>
      <c r="E1041">
        <v>2</v>
      </c>
      <c r="F1041">
        <v>2013</v>
      </c>
      <c r="G1041">
        <v>1</v>
      </c>
      <c r="H1041">
        <v>10</v>
      </c>
      <c r="I1041">
        <v>2014</v>
      </c>
      <c r="J1041" s="2" t="s">
        <v>16</v>
      </c>
    </row>
    <row r="1042" spans="1:10" x14ac:dyDescent="0.2">
      <c r="A1042">
        <v>1041</v>
      </c>
      <c r="B1042" s="2" t="s">
        <v>13</v>
      </c>
      <c r="C1042" s="2" t="s">
        <v>14</v>
      </c>
      <c r="D1042">
        <v>1600</v>
      </c>
      <c r="E1042">
        <v>8</v>
      </c>
      <c r="F1042">
        <v>2013</v>
      </c>
      <c r="G1042">
        <v>1</v>
      </c>
      <c r="H1042">
        <v>40</v>
      </c>
      <c r="I1042">
        <v>2014</v>
      </c>
      <c r="J1042" s="2" t="s">
        <v>16</v>
      </c>
    </row>
    <row r="1043" spans="1:10" x14ac:dyDescent="0.2">
      <c r="A1043">
        <v>1042</v>
      </c>
      <c r="B1043" s="2" t="s">
        <v>14</v>
      </c>
      <c r="C1043" s="2" t="s">
        <v>14</v>
      </c>
      <c r="D1043">
        <v>3440</v>
      </c>
      <c r="G1043">
        <v>1</v>
      </c>
      <c r="H1043">
        <v>31</v>
      </c>
      <c r="I1043">
        <v>2013</v>
      </c>
      <c r="J1043" s="2" t="s">
        <v>18</v>
      </c>
    </row>
    <row r="1044" spans="1:10" x14ac:dyDescent="0.2">
      <c r="A1044">
        <v>1043</v>
      </c>
      <c r="B1044" s="2" t="s">
        <v>13</v>
      </c>
      <c r="C1044" s="2" t="s">
        <v>14</v>
      </c>
      <c r="D1044">
        <v>420</v>
      </c>
      <c r="E1044">
        <v>3</v>
      </c>
      <c r="F1044">
        <v>2006</v>
      </c>
      <c r="G1044">
        <v>0</v>
      </c>
      <c r="H1044">
        <v>0</v>
      </c>
      <c r="I1044">
        <v>0</v>
      </c>
      <c r="J1044" s="2" t="s">
        <v>15</v>
      </c>
    </row>
    <row r="1045" spans="1:10" x14ac:dyDescent="0.2">
      <c r="A1045">
        <v>1044</v>
      </c>
      <c r="B1045" s="2" t="s">
        <v>13</v>
      </c>
      <c r="C1045" s="2" t="s">
        <v>14</v>
      </c>
      <c r="D1045">
        <v>240</v>
      </c>
      <c r="E1045">
        <v>4</v>
      </c>
      <c r="F1045">
        <v>2015</v>
      </c>
      <c r="G1045">
        <v>1</v>
      </c>
      <c r="H1045">
        <v>13</v>
      </c>
      <c r="I1045">
        <v>2010</v>
      </c>
      <c r="J1045" s="2" t="s">
        <v>16</v>
      </c>
    </row>
    <row r="1046" spans="1:10" x14ac:dyDescent="0.2">
      <c r="A1046">
        <v>1045</v>
      </c>
      <c r="B1046" s="2" t="s">
        <v>14</v>
      </c>
      <c r="C1046" s="2" t="s">
        <v>13</v>
      </c>
      <c r="D1046">
        <v>26990</v>
      </c>
      <c r="E1046">
        <v>12</v>
      </c>
      <c r="F1046">
        <v>2013</v>
      </c>
      <c r="G1046">
        <v>0</v>
      </c>
      <c r="H1046">
        <v>0</v>
      </c>
      <c r="I1046">
        <v>0</v>
      </c>
      <c r="J1046" s="2" t="s">
        <v>15</v>
      </c>
    </row>
    <row r="1047" spans="1:10" x14ac:dyDescent="0.2">
      <c r="A1047">
        <v>1046</v>
      </c>
      <c r="B1047" s="2" t="s">
        <v>17</v>
      </c>
      <c r="C1047" s="2" t="s">
        <v>13</v>
      </c>
      <c r="D1047">
        <v>29070</v>
      </c>
      <c r="E1047">
        <v>4</v>
      </c>
      <c r="F1047">
        <v>2005</v>
      </c>
      <c r="G1047">
        <v>0</v>
      </c>
      <c r="H1047">
        <v>0</v>
      </c>
      <c r="I1047">
        <v>0</v>
      </c>
      <c r="J1047" s="2" t="s">
        <v>15</v>
      </c>
    </row>
    <row r="1048" spans="1:10" x14ac:dyDescent="0.2">
      <c r="A1048">
        <v>1047</v>
      </c>
      <c r="B1048" s="2" t="s">
        <v>14</v>
      </c>
      <c r="C1048" s="2" t="s">
        <v>14</v>
      </c>
      <c r="D1048">
        <v>3750</v>
      </c>
      <c r="G1048">
        <v>1</v>
      </c>
      <c r="H1048">
        <v>45</v>
      </c>
      <c r="I1048">
        <v>2009</v>
      </c>
      <c r="J1048" s="2" t="s">
        <v>18</v>
      </c>
    </row>
    <row r="1049" spans="1:10" x14ac:dyDescent="0.2">
      <c r="A1049">
        <v>1048</v>
      </c>
      <c r="B1049" s="2" t="s">
        <v>17</v>
      </c>
      <c r="C1049" s="2" t="s">
        <v>13</v>
      </c>
      <c r="D1049">
        <v>1860</v>
      </c>
      <c r="E1049">
        <v>9</v>
      </c>
      <c r="F1049">
        <v>2012</v>
      </c>
      <c r="G1049">
        <v>1</v>
      </c>
      <c r="H1049">
        <v>40</v>
      </c>
      <c r="I1049">
        <v>2012</v>
      </c>
      <c r="J1049" s="2" t="s">
        <v>16</v>
      </c>
    </row>
    <row r="1050" spans="1:10" x14ac:dyDescent="0.2">
      <c r="A1050">
        <v>1049</v>
      </c>
      <c r="B1050" s="2" t="s">
        <v>14</v>
      </c>
      <c r="C1050" s="2" t="s">
        <v>14</v>
      </c>
      <c r="D1050">
        <v>370</v>
      </c>
      <c r="E1050">
        <v>7</v>
      </c>
      <c r="F1050">
        <v>2012</v>
      </c>
      <c r="G1050">
        <v>1</v>
      </c>
      <c r="H1050">
        <v>14</v>
      </c>
      <c r="I1050">
        <v>2011</v>
      </c>
      <c r="J1050" s="2" t="s">
        <v>16</v>
      </c>
    </row>
    <row r="1051" spans="1:10" x14ac:dyDescent="0.2">
      <c r="A1051">
        <v>1050</v>
      </c>
      <c r="B1051" s="2" t="s">
        <v>17</v>
      </c>
      <c r="C1051" s="2" t="s">
        <v>13</v>
      </c>
      <c r="D1051">
        <v>13170</v>
      </c>
      <c r="E1051">
        <v>8</v>
      </c>
      <c r="F1051">
        <v>2014</v>
      </c>
      <c r="G1051">
        <v>1</v>
      </c>
      <c r="H1051">
        <v>9</v>
      </c>
      <c r="I1051">
        <v>2011</v>
      </c>
      <c r="J1051" s="2" t="s">
        <v>19</v>
      </c>
    </row>
    <row r="1052" spans="1:10" x14ac:dyDescent="0.2">
      <c r="A1052">
        <v>1051</v>
      </c>
      <c r="B1052" s="2" t="s">
        <v>13</v>
      </c>
      <c r="C1052" s="2" t="s">
        <v>14</v>
      </c>
      <c r="D1052">
        <v>200</v>
      </c>
      <c r="E1052">
        <v>7</v>
      </c>
      <c r="F1052">
        <v>1998</v>
      </c>
      <c r="G1052">
        <v>1</v>
      </c>
      <c r="H1052">
        <v>1</v>
      </c>
      <c r="I1052">
        <v>2012</v>
      </c>
      <c r="J1052" s="2" t="s">
        <v>16</v>
      </c>
    </row>
    <row r="1053" spans="1:10" x14ac:dyDescent="0.2">
      <c r="A1053">
        <v>1052</v>
      </c>
      <c r="B1053" s="2" t="s">
        <v>14</v>
      </c>
      <c r="C1053" s="2" t="s">
        <v>13</v>
      </c>
      <c r="D1053">
        <v>5080</v>
      </c>
      <c r="G1053">
        <v>1</v>
      </c>
      <c r="H1053">
        <v>31</v>
      </c>
      <c r="I1053">
        <v>2013</v>
      </c>
      <c r="J1053" s="2" t="s">
        <v>18</v>
      </c>
    </row>
    <row r="1054" spans="1:10" x14ac:dyDescent="0.2">
      <c r="A1054">
        <v>1053</v>
      </c>
      <c r="B1054" s="2" t="s">
        <v>14</v>
      </c>
      <c r="C1054" s="2" t="s">
        <v>14</v>
      </c>
      <c r="D1054">
        <v>1710</v>
      </c>
      <c r="E1054">
        <v>7</v>
      </c>
      <c r="F1054">
        <v>2015</v>
      </c>
      <c r="G1054">
        <v>0</v>
      </c>
      <c r="H1054">
        <v>0</v>
      </c>
      <c r="I1054">
        <v>0</v>
      </c>
      <c r="J1054" s="2" t="s">
        <v>15</v>
      </c>
    </row>
    <row r="1055" spans="1:10" x14ac:dyDescent="0.2">
      <c r="A1055">
        <v>1054</v>
      </c>
      <c r="B1055" s="2" t="s">
        <v>14</v>
      </c>
      <c r="C1055" s="2" t="s">
        <v>13</v>
      </c>
      <c r="D1055">
        <v>13190</v>
      </c>
      <c r="G1055">
        <v>1</v>
      </c>
      <c r="H1055">
        <v>45</v>
      </c>
      <c r="I1055">
        <v>2013</v>
      </c>
      <c r="J1055" s="2" t="s">
        <v>18</v>
      </c>
    </row>
    <row r="1056" spans="1:10" x14ac:dyDescent="0.2">
      <c r="A1056">
        <v>1055</v>
      </c>
      <c r="B1056" s="2" t="s">
        <v>13</v>
      </c>
      <c r="C1056" s="2" t="s">
        <v>14</v>
      </c>
      <c r="D1056">
        <v>1980</v>
      </c>
      <c r="E1056">
        <v>4</v>
      </c>
      <c r="F1056">
        <v>2009</v>
      </c>
      <c r="G1056">
        <v>0</v>
      </c>
      <c r="H1056">
        <v>0</v>
      </c>
      <c r="I1056">
        <v>0</v>
      </c>
      <c r="J1056" s="2" t="s">
        <v>15</v>
      </c>
    </row>
    <row r="1057" spans="1:10" x14ac:dyDescent="0.2">
      <c r="A1057">
        <v>1056</v>
      </c>
      <c r="B1057" s="2" t="s">
        <v>17</v>
      </c>
      <c r="C1057" s="2" t="s">
        <v>13</v>
      </c>
      <c r="D1057">
        <v>5350</v>
      </c>
      <c r="G1057">
        <v>1</v>
      </c>
      <c r="H1057">
        <v>40</v>
      </c>
      <c r="I1057">
        <v>2012</v>
      </c>
      <c r="J1057" s="2" t="s">
        <v>16</v>
      </c>
    </row>
    <row r="1058" spans="1:10" x14ac:dyDescent="0.2">
      <c r="A1058">
        <v>1057</v>
      </c>
      <c r="B1058" s="2" t="s">
        <v>17</v>
      </c>
      <c r="C1058" s="2" t="s">
        <v>13</v>
      </c>
      <c r="D1058">
        <v>3230</v>
      </c>
      <c r="E1058">
        <v>11</v>
      </c>
      <c r="F1058">
        <v>2011</v>
      </c>
      <c r="G1058">
        <v>0</v>
      </c>
      <c r="H1058">
        <v>0</v>
      </c>
      <c r="I1058">
        <v>0</v>
      </c>
      <c r="J1058" s="2" t="s">
        <v>15</v>
      </c>
    </row>
    <row r="1059" spans="1:10" x14ac:dyDescent="0.2">
      <c r="A1059">
        <v>1058</v>
      </c>
      <c r="B1059" s="2" t="s">
        <v>14</v>
      </c>
      <c r="C1059" s="2" t="s">
        <v>13</v>
      </c>
      <c r="D1059">
        <v>180</v>
      </c>
      <c r="G1059">
        <v>1</v>
      </c>
      <c r="H1059">
        <v>35</v>
      </c>
      <c r="I1059">
        <v>2010</v>
      </c>
      <c r="J1059" s="2" t="s">
        <v>19</v>
      </c>
    </row>
    <row r="1060" spans="1:10" x14ac:dyDescent="0.2">
      <c r="A1060">
        <v>1059</v>
      </c>
      <c r="B1060" s="2" t="s">
        <v>13</v>
      </c>
      <c r="C1060" s="2" t="s">
        <v>14</v>
      </c>
      <c r="D1060">
        <v>3380</v>
      </c>
      <c r="E1060">
        <v>4</v>
      </c>
      <c r="F1060">
        <v>2013</v>
      </c>
      <c r="G1060">
        <v>0</v>
      </c>
      <c r="H1060">
        <v>0</v>
      </c>
      <c r="I1060">
        <v>0</v>
      </c>
      <c r="J1060" s="2" t="s">
        <v>15</v>
      </c>
    </row>
    <row r="1061" spans="1:10" x14ac:dyDescent="0.2">
      <c r="A1061">
        <v>1060</v>
      </c>
      <c r="B1061" s="2" t="s">
        <v>14</v>
      </c>
      <c r="C1061" s="2" t="s">
        <v>13</v>
      </c>
      <c r="D1061">
        <v>3430</v>
      </c>
      <c r="G1061">
        <v>1</v>
      </c>
      <c r="H1061">
        <v>31</v>
      </c>
      <c r="I1061">
        <v>2013</v>
      </c>
      <c r="J1061" s="2" t="s">
        <v>18</v>
      </c>
    </row>
    <row r="1062" spans="1:10" x14ac:dyDescent="0.2">
      <c r="A1062">
        <v>1061</v>
      </c>
      <c r="B1062" s="2" t="s">
        <v>17</v>
      </c>
      <c r="C1062" s="2" t="s">
        <v>13</v>
      </c>
      <c r="D1062">
        <v>8110</v>
      </c>
      <c r="G1062">
        <v>0</v>
      </c>
      <c r="H1062">
        <v>0</v>
      </c>
      <c r="I1062">
        <v>0</v>
      </c>
      <c r="J1062" s="2" t="s">
        <v>15</v>
      </c>
    </row>
    <row r="1063" spans="1:10" x14ac:dyDescent="0.2">
      <c r="A1063">
        <v>1062</v>
      </c>
      <c r="B1063" s="2" t="s">
        <v>17</v>
      </c>
      <c r="C1063" s="2" t="s">
        <v>14</v>
      </c>
      <c r="D1063">
        <v>190</v>
      </c>
      <c r="E1063">
        <v>9</v>
      </c>
      <c r="F1063">
        <v>2012</v>
      </c>
      <c r="G1063">
        <v>1</v>
      </c>
      <c r="H1063">
        <v>40</v>
      </c>
      <c r="I1063">
        <v>2012</v>
      </c>
      <c r="J1063" s="2" t="s">
        <v>18</v>
      </c>
    </row>
    <row r="1064" spans="1:10" x14ac:dyDescent="0.2">
      <c r="A1064">
        <v>1063</v>
      </c>
      <c r="B1064" s="2" t="s">
        <v>14</v>
      </c>
      <c r="C1064" s="2" t="s">
        <v>13</v>
      </c>
      <c r="D1064">
        <v>6250</v>
      </c>
      <c r="G1064">
        <v>0</v>
      </c>
      <c r="H1064">
        <v>0</v>
      </c>
      <c r="I1064">
        <v>0</v>
      </c>
      <c r="J1064" s="2" t="s">
        <v>15</v>
      </c>
    </row>
    <row r="1065" spans="1:10" x14ac:dyDescent="0.2">
      <c r="A1065">
        <v>1064</v>
      </c>
      <c r="B1065" s="2" t="s">
        <v>14</v>
      </c>
      <c r="C1065" s="2" t="s">
        <v>13</v>
      </c>
      <c r="D1065">
        <v>420</v>
      </c>
      <c r="G1065">
        <v>0</v>
      </c>
      <c r="H1065">
        <v>0</v>
      </c>
      <c r="I1065">
        <v>0</v>
      </c>
      <c r="J1065" s="2" t="s">
        <v>15</v>
      </c>
    </row>
    <row r="1066" spans="1:10" x14ac:dyDescent="0.2">
      <c r="A1066">
        <v>1065</v>
      </c>
      <c r="B1066" s="2" t="s">
        <v>14</v>
      </c>
      <c r="C1066" s="2" t="s">
        <v>14</v>
      </c>
      <c r="D1066">
        <v>1290</v>
      </c>
      <c r="G1066">
        <v>1</v>
      </c>
      <c r="H1066">
        <v>35</v>
      </c>
      <c r="I1066">
        <v>2011</v>
      </c>
      <c r="J1066" s="2" t="s">
        <v>19</v>
      </c>
    </row>
    <row r="1067" spans="1:10" x14ac:dyDescent="0.2">
      <c r="A1067">
        <v>1066</v>
      </c>
      <c r="B1067" s="2" t="s">
        <v>14</v>
      </c>
      <c r="C1067" s="2" t="s">
        <v>14</v>
      </c>
      <c r="D1067">
        <v>3350</v>
      </c>
      <c r="G1067">
        <v>0</v>
      </c>
      <c r="H1067">
        <v>0</v>
      </c>
      <c r="I1067">
        <v>0</v>
      </c>
      <c r="J1067" s="2" t="s">
        <v>15</v>
      </c>
    </row>
    <row r="1068" spans="1:10" x14ac:dyDescent="0.2">
      <c r="A1068">
        <v>1067</v>
      </c>
      <c r="B1068" s="2" t="s">
        <v>17</v>
      </c>
      <c r="C1068" s="2" t="s">
        <v>13</v>
      </c>
      <c r="D1068">
        <v>12020</v>
      </c>
      <c r="E1068">
        <v>7</v>
      </c>
      <c r="F1068">
        <v>2009</v>
      </c>
      <c r="G1068">
        <v>0</v>
      </c>
      <c r="H1068">
        <v>0</v>
      </c>
      <c r="I1068">
        <v>0</v>
      </c>
      <c r="J1068" s="2" t="s">
        <v>15</v>
      </c>
    </row>
    <row r="1069" spans="1:10" x14ac:dyDescent="0.2">
      <c r="A1069">
        <v>1068</v>
      </c>
      <c r="B1069" s="2" t="s">
        <v>17</v>
      </c>
      <c r="C1069" s="2" t="s">
        <v>13</v>
      </c>
      <c r="D1069">
        <v>5010</v>
      </c>
      <c r="G1069">
        <v>1</v>
      </c>
      <c r="H1069">
        <v>5</v>
      </c>
      <c r="I1069">
        <v>2013</v>
      </c>
      <c r="J1069" s="2" t="s">
        <v>16</v>
      </c>
    </row>
    <row r="1070" spans="1:10" x14ac:dyDescent="0.2">
      <c r="A1070">
        <v>1069</v>
      </c>
      <c r="B1070" s="2" t="s">
        <v>14</v>
      </c>
      <c r="C1070" s="2" t="s">
        <v>13</v>
      </c>
      <c r="D1070">
        <v>18050</v>
      </c>
      <c r="G1070">
        <v>1</v>
      </c>
      <c r="H1070">
        <v>14</v>
      </c>
      <c r="I1070">
        <v>2011</v>
      </c>
      <c r="J1070" s="2" t="s">
        <v>16</v>
      </c>
    </row>
    <row r="1071" spans="1:10" x14ac:dyDescent="0.2">
      <c r="A1071">
        <v>1070</v>
      </c>
      <c r="B1071" s="2" t="s">
        <v>13</v>
      </c>
      <c r="C1071" s="2" t="s">
        <v>13</v>
      </c>
      <c r="D1071">
        <v>400</v>
      </c>
      <c r="E1071">
        <v>10</v>
      </c>
      <c r="F1071">
        <v>2008</v>
      </c>
      <c r="G1071">
        <v>0</v>
      </c>
      <c r="H1071">
        <v>0</v>
      </c>
      <c r="I1071">
        <v>0</v>
      </c>
      <c r="J1071" s="2" t="s">
        <v>15</v>
      </c>
    </row>
    <row r="1072" spans="1:10" x14ac:dyDescent="0.2">
      <c r="A1072">
        <v>1071</v>
      </c>
      <c r="B1072" s="2" t="s">
        <v>14</v>
      </c>
      <c r="C1072" s="2" t="s">
        <v>14</v>
      </c>
      <c r="D1072">
        <v>820</v>
      </c>
      <c r="E1072">
        <v>3</v>
      </c>
      <c r="F1072">
        <v>2012</v>
      </c>
      <c r="G1072">
        <v>1</v>
      </c>
      <c r="H1072">
        <v>35</v>
      </c>
      <c r="I1072">
        <v>2012</v>
      </c>
      <c r="J1072" s="2" t="s">
        <v>19</v>
      </c>
    </row>
    <row r="1073" spans="1:10" x14ac:dyDescent="0.2">
      <c r="A1073">
        <v>1072</v>
      </c>
      <c r="B1073" s="2" t="s">
        <v>14</v>
      </c>
      <c r="C1073" s="2" t="s">
        <v>13</v>
      </c>
      <c r="D1073">
        <v>5380</v>
      </c>
      <c r="E1073">
        <v>8</v>
      </c>
      <c r="F1073">
        <v>2015</v>
      </c>
      <c r="G1073">
        <v>1</v>
      </c>
      <c r="H1073">
        <v>5</v>
      </c>
      <c r="I1073">
        <v>2010</v>
      </c>
      <c r="J1073" s="2" t="s">
        <v>18</v>
      </c>
    </row>
    <row r="1074" spans="1:10" x14ac:dyDescent="0.2">
      <c r="A1074">
        <v>1073</v>
      </c>
      <c r="B1074" s="2" t="s">
        <v>14</v>
      </c>
      <c r="C1074" s="2" t="s">
        <v>13</v>
      </c>
      <c r="D1074">
        <v>1710</v>
      </c>
      <c r="G1074">
        <v>1</v>
      </c>
      <c r="H1074">
        <v>44</v>
      </c>
      <c r="I1074">
        <v>2012</v>
      </c>
      <c r="J1074" s="2" t="s">
        <v>16</v>
      </c>
    </row>
    <row r="1075" spans="1:10" x14ac:dyDescent="0.2">
      <c r="A1075">
        <v>1074</v>
      </c>
      <c r="B1075" s="2" t="s">
        <v>13</v>
      </c>
      <c r="C1075" s="2" t="s">
        <v>13</v>
      </c>
      <c r="D1075">
        <v>3330</v>
      </c>
      <c r="E1075">
        <v>10</v>
      </c>
      <c r="F1075">
        <v>2001</v>
      </c>
      <c r="G1075">
        <v>1</v>
      </c>
      <c r="H1075">
        <v>14</v>
      </c>
      <c r="I1075">
        <v>2011</v>
      </c>
      <c r="J1075" s="2" t="s">
        <v>16</v>
      </c>
    </row>
    <row r="1076" spans="1:10" x14ac:dyDescent="0.2">
      <c r="A1076">
        <v>1075</v>
      </c>
      <c r="B1076" s="2" t="s">
        <v>14</v>
      </c>
      <c r="C1076" s="2" t="s">
        <v>13</v>
      </c>
      <c r="D1076">
        <v>1410</v>
      </c>
      <c r="E1076">
        <v>10</v>
      </c>
      <c r="F1076">
        <v>2013</v>
      </c>
      <c r="G1076">
        <v>0</v>
      </c>
      <c r="H1076">
        <v>0</v>
      </c>
      <c r="I1076">
        <v>0</v>
      </c>
      <c r="J1076" s="2" t="s">
        <v>15</v>
      </c>
    </row>
    <row r="1077" spans="1:10" x14ac:dyDescent="0.2">
      <c r="A1077">
        <v>1076</v>
      </c>
      <c r="B1077" s="2" t="s">
        <v>14</v>
      </c>
      <c r="C1077" s="2" t="s">
        <v>13</v>
      </c>
      <c r="D1077">
        <v>90</v>
      </c>
      <c r="G1077">
        <v>1</v>
      </c>
      <c r="H1077">
        <v>1</v>
      </c>
      <c r="I1077">
        <v>2013</v>
      </c>
      <c r="J1077" s="2" t="s">
        <v>16</v>
      </c>
    </row>
    <row r="1078" spans="1:10" x14ac:dyDescent="0.2">
      <c r="A1078">
        <v>1077</v>
      </c>
      <c r="B1078" s="2" t="s">
        <v>14</v>
      </c>
      <c r="C1078" s="2" t="s">
        <v>14</v>
      </c>
      <c r="D1078">
        <v>3750</v>
      </c>
      <c r="E1078">
        <v>11</v>
      </c>
      <c r="F1078">
        <v>2001</v>
      </c>
      <c r="G1078">
        <v>1</v>
      </c>
      <c r="H1078">
        <v>35</v>
      </c>
      <c r="I1078">
        <v>2010</v>
      </c>
      <c r="J1078" s="2" t="s">
        <v>19</v>
      </c>
    </row>
    <row r="1079" spans="1:10" x14ac:dyDescent="0.2">
      <c r="A1079">
        <v>1078</v>
      </c>
      <c r="B1079" s="2" t="s">
        <v>17</v>
      </c>
      <c r="C1079" s="2" t="s">
        <v>13</v>
      </c>
      <c r="D1079">
        <v>670</v>
      </c>
      <c r="G1079">
        <v>1</v>
      </c>
      <c r="H1079">
        <v>40</v>
      </c>
      <c r="I1079">
        <v>2011</v>
      </c>
      <c r="J1079" s="2" t="s">
        <v>16</v>
      </c>
    </row>
    <row r="1080" spans="1:10" x14ac:dyDescent="0.2">
      <c r="A1080">
        <v>1079</v>
      </c>
      <c r="B1080" s="2" t="s">
        <v>14</v>
      </c>
      <c r="C1080" s="2" t="s">
        <v>14</v>
      </c>
      <c r="D1080">
        <v>16680</v>
      </c>
      <c r="G1080">
        <v>1</v>
      </c>
      <c r="H1080">
        <v>37</v>
      </c>
      <c r="I1080">
        <v>2009</v>
      </c>
      <c r="J1080" s="2" t="s">
        <v>16</v>
      </c>
    </row>
    <row r="1081" spans="1:10" x14ac:dyDescent="0.2">
      <c r="A1081">
        <v>1080</v>
      </c>
      <c r="B1081" s="2" t="s">
        <v>14</v>
      </c>
      <c r="C1081" s="2" t="s">
        <v>14</v>
      </c>
      <c r="D1081">
        <v>2410</v>
      </c>
      <c r="G1081">
        <v>1</v>
      </c>
      <c r="H1081">
        <v>40</v>
      </c>
      <c r="I1081">
        <v>2014</v>
      </c>
      <c r="J1081" s="2" t="s">
        <v>16</v>
      </c>
    </row>
    <row r="1082" spans="1:10" x14ac:dyDescent="0.2">
      <c r="A1082">
        <v>1081</v>
      </c>
      <c r="B1082" s="2" t="s">
        <v>20</v>
      </c>
      <c r="C1082" s="2" t="s">
        <v>14</v>
      </c>
      <c r="D1082">
        <v>400</v>
      </c>
      <c r="E1082">
        <v>3</v>
      </c>
      <c r="F1082">
        <v>2006</v>
      </c>
      <c r="G1082">
        <v>0</v>
      </c>
      <c r="H1082">
        <v>0</v>
      </c>
      <c r="I1082">
        <v>0</v>
      </c>
      <c r="J1082" s="2" t="s">
        <v>15</v>
      </c>
    </row>
    <row r="1083" spans="1:10" x14ac:dyDescent="0.2">
      <c r="A1083">
        <v>1082</v>
      </c>
      <c r="B1083" s="2" t="s">
        <v>13</v>
      </c>
      <c r="C1083" s="2" t="s">
        <v>14</v>
      </c>
      <c r="D1083">
        <v>440</v>
      </c>
      <c r="E1083">
        <v>4</v>
      </c>
      <c r="F1083">
        <v>2002</v>
      </c>
      <c r="G1083">
        <v>0</v>
      </c>
      <c r="H1083">
        <v>0</v>
      </c>
      <c r="I1083">
        <v>0</v>
      </c>
      <c r="J1083" s="2" t="s">
        <v>15</v>
      </c>
    </row>
    <row r="1084" spans="1:10" x14ac:dyDescent="0.2">
      <c r="A1084">
        <v>1083</v>
      </c>
      <c r="B1084" s="2" t="s">
        <v>17</v>
      </c>
      <c r="C1084" s="2" t="s">
        <v>13</v>
      </c>
      <c r="D1084">
        <v>11540</v>
      </c>
      <c r="G1084">
        <v>1</v>
      </c>
      <c r="H1084">
        <v>5</v>
      </c>
      <c r="I1084">
        <v>2013</v>
      </c>
      <c r="J1084" s="2" t="s">
        <v>18</v>
      </c>
    </row>
    <row r="1085" spans="1:10" x14ac:dyDescent="0.2">
      <c r="A1085">
        <v>1084</v>
      </c>
      <c r="B1085" s="2" t="s">
        <v>14</v>
      </c>
      <c r="C1085" s="2" t="s">
        <v>14</v>
      </c>
      <c r="D1085">
        <v>190</v>
      </c>
      <c r="G1085">
        <v>1</v>
      </c>
      <c r="H1085">
        <v>13</v>
      </c>
      <c r="I1085">
        <v>2010</v>
      </c>
      <c r="J1085" s="2" t="s">
        <v>16</v>
      </c>
    </row>
    <row r="1086" spans="1:10" x14ac:dyDescent="0.2">
      <c r="A1086">
        <v>1085</v>
      </c>
      <c r="B1086" s="2" t="s">
        <v>13</v>
      </c>
      <c r="C1086" s="2" t="s">
        <v>14</v>
      </c>
      <c r="D1086">
        <v>4030</v>
      </c>
      <c r="E1086">
        <v>2</v>
      </c>
      <c r="F1086">
        <v>2015</v>
      </c>
      <c r="G1086">
        <v>0</v>
      </c>
      <c r="H1086">
        <v>0</v>
      </c>
      <c r="I1086">
        <v>0</v>
      </c>
      <c r="J1086" s="2" t="s">
        <v>15</v>
      </c>
    </row>
    <row r="1087" spans="1:10" x14ac:dyDescent="0.2">
      <c r="A1087">
        <v>1086</v>
      </c>
      <c r="B1087" s="2" t="s">
        <v>14</v>
      </c>
      <c r="C1087" s="2" t="s">
        <v>14</v>
      </c>
      <c r="D1087">
        <v>180</v>
      </c>
      <c r="E1087">
        <v>11</v>
      </c>
      <c r="F1087">
        <v>2013</v>
      </c>
      <c r="G1087">
        <v>1</v>
      </c>
      <c r="H1087">
        <v>18</v>
      </c>
      <c r="I1087">
        <v>2011</v>
      </c>
      <c r="J1087" s="2" t="s">
        <v>18</v>
      </c>
    </row>
    <row r="1088" spans="1:10" x14ac:dyDescent="0.2">
      <c r="A1088">
        <v>1087</v>
      </c>
      <c r="B1088" s="2" t="s">
        <v>17</v>
      </c>
      <c r="C1088" s="2" t="s">
        <v>13</v>
      </c>
      <c r="D1088">
        <v>2210</v>
      </c>
      <c r="E1088">
        <v>11</v>
      </c>
      <c r="F1088">
        <v>2011</v>
      </c>
      <c r="G1088">
        <v>0</v>
      </c>
      <c r="H1088">
        <v>0</v>
      </c>
      <c r="I1088">
        <v>0</v>
      </c>
      <c r="J1088" s="2" t="s">
        <v>15</v>
      </c>
    </row>
    <row r="1089" spans="1:10" x14ac:dyDescent="0.2">
      <c r="A1089">
        <v>1088</v>
      </c>
      <c r="B1089" s="2" t="s">
        <v>14</v>
      </c>
      <c r="C1089" s="2" t="s">
        <v>14</v>
      </c>
      <c r="D1089">
        <v>4300</v>
      </c>
      <c r="E1089">
        <v>3</v>
      </c>
      <c r="F1089">
        <v>2009</v>
      </c>
      <c r="G1089">
        <v>1</v>
      </c>
      <c r="H1089">
        <v>27</v>
      </c>
      <c r="I1089">
        <v>2013</v>
      </c>
      <c r="J1089" s="2" t="s">
        <v>16</v>
      </c>
    </row>
    <row r="1090" spans="1:10" x14ac:dyDescent="0.2">
      <c r="A1090">
        <v>1089</v>
      </c>
      <c r="B1090" s="2" t="s">
        <v>17</v>
      </c>
      <c r="C1090" s="2" t="s">
        <v>14</v>
      </c>
      <c r="D1090">
        <v>5220</v>
      </c>
      <c r="E1090">
        <v>5</v>
      </c>
      <c r="F1090">
        <v>2009</v>
      </c>
      <c r="G1090">
        <v>0</v>
      </c>
      <c r="H1090">
        <v>0</v>
      </c>
      <c r="I1090">
        <v>0</v>
      </c>
      <c r="J1090" s="2" t="s">
        <v>15</v>
      </c>
    </row>
    <row r="1091" spans="1:10" x14ac:dyDescent="0.2">
      <c r="A1091">
        <v>1090</v>
      </c>
      <c r="B1091" s="2" t="s">
        <v>14</v>
      </c>
      <c r="C1091" s="2" t="s">
        <v>14</v>
      </c>
      <c r="D1091">
        <v>330</v>
      </c>
      <c r="G1091">
        <v>1</v>
      </c>
      <c r="H1091">
        <v>14</v>
      </c>
      <c r="I1091">
        <v>2011</v>
      </c>
      <c r="J1091" s="2" t="s">
        <v>16</v>
      </c>
    </row>
    <row r="1092" spans="1:10" x14ac:dyDescent="0.2">
      <c r="A1092">
        <v>1091</v>
      </c>
      <c r="B1092" s="2" t="s">
        <v>14</v>
      </c>
      <c r="C1092" s="2" t="s">
        <v>13</v>
      </c>
      <c r="D1092">
        <v>9990</v>
      </c>
      <c r="G1092">
        <v>0</v>
      </c>
      <c r="H1092">
        <v>0</v>
      </c>
      <c r="I1092">
        <v>0</v>
      </c>
      <c r="J1092" s="2" t="s">
        <v>15</v>
      </c>
    </row>
    <row r="1093" spans="1:10" x14ac:dyDescent="0.2">
      <c r="A1093">
        <v>1092</v>
      </c>
      <c r="B1093" s="2" t="s">
        <v>14</v>
      </c>
      <c r="C1093" s="2" t="s">
        <v>14</v>
      </c>
      <c r="D1093">
        <v>300</v>
      </c>
      <c r="E1093">
        <v>7</v>
      </c>
      <c r="F1093">
        <v>2000</v>
      </c>
      <c r="G1093">
        <v>1</v>
      </c>
      <c r="H1093">
        <v>40</v>
      </c>
      <c r="I1093">
        <v>2014</v>
      </c>
      <c r="J1093" s="2" t="s">
        <v>16</v>
      </c>
    </row>
    <row r="1094" spans="1:10" x14ac:dyDescent="0.2">
      <c r="A1094">
        <v>1093</v>
      </c>
      <c r="B1094" s="2" t="s">
        <v>13</v>
      </c>
      <c r="C1094" s="2" t="s">
        <v>13</v>
      </c>
      <c r="D1094">
        <v>10450</v>
      </c>
      <c r="E1094">
        <v>6</v>
      </c>
      <c r="F1094">
        <v>2009</v>
      </c>
      <c r="G1094">
        <v>0</v>
      </c>
      <c r="H1094">
        <v>0</v>
      </c>
      <c r="I1094">
        <v>0</v>
      </c>
      <c r="J1094" s="2" t="s">
        <v>15</v>
      </c>
    </row>
    <row r="1095" spans="1:10" x14ac:dyDescent="0.2">
      <c r="A1095">
        <v>1094</v>
      </c>
      <c r="B1095" s="2" t="s">
        <v>17</v>
      </c>
      <c r="C1095" s="2" t="s">
        <v>14</v>
      </c>
      <c r="D1095">
        <v>2380</v>
      </c>
      <c r="E1095">
        <v>3</v>
      </c>
      <c r="F1095">
        <v>2013</v>
      </c>
      <c r="G1095">
        <v>1</v>
      </c>
      <c r="H1095">
        <v>40</v>
      </c>
      <c r="I1095">
        <v>2014</v>
      </c>
      <c r="J1095" s="2" t="s">
        <v>16</v>
      </c>
    </row>
    <row r="1096" spans="1:10" x14ac:dyDescent="0.2">
      <c r="A1096">
        <v>1095</v>
      </c>
      <c r="B1096" s="2" t="s">
        <v>14</v>
      </c>
      <c r="C1096" s="2" t="s">
        <v>14</v>
      </c>
      <c r="D1096">
        <v>690</v>
      </c>
      <c r="E1096">
        <v>6</v>
      </c>
      <c r="F1096">
        <v>2007</v>
      </c>
      <c r="G1096">
        <v>1</v>
      </c>
      <c r="H1096">
        <v>14</v>
      </c>
      <c r="I1096">
        <v>2011</v>
      </c>
      <c r="J1096" s="2" t="s">
        <v>16</v>
      </c>
    </row>
    <row r="1097" spans="1:10" x14ac:dyDescent="0.2">
      <c r="A1097">
        <v>1096</v>
      </c>
      <c r="B1097" s="2" t="s">
        <v>14</v>
      </c>
      <c r="C1097" s="2" t="s">
        <v>13</v>
      </c>
      <c r="D1097">
        <v>1130</v>
      </c>
      <c r="G1097">
        <v>1</v>
      </c>
      <c r="H1097">
        <v>10</v>
      </c>
      <c r="I1097">
        <v>2014</v>
      </c>
      <c r="J1097" s="2" t="s">
        <v>19</v>
      </c>
    </row>
    <row r="1098" spans="1:10" x14ac:dyDescent="0.2">
      <c r="A1098">
        <v>1097</v>
      </c>
      <c r="B1098" s="2" t="s">
        <v>20</v>
      </c>
      <c r="C1098" s="2" t="s">
        <v>20</v>
      </c>
      <c r="D1098">
        <v>720</v>
      </c>
      <c r="E1098">
        <v>3</v>
      </c>
      <c r="F1098">
        <v>2002</v>
      </c>
      <c r="G1098">
        <v>0</v>
      </c>
      <c r="H1098">
        <v>0</v>
      </c>
      <c r="I1098">
        <v>0</v>
      </c>
      <c r="J1098" s="2" t="s">
        <v>15</v>
      </c>
    </row>
    <row r="1099" spans="1:10" x14ac:dyDescent="0.2">
      <c r="A1099">
        <v>1098</v>
      </c>
      <c r="B1099" s="2" t="s">
        <v>14</v>
      </c>
      <c r="C1099" s="2" t="s">
        <v>14</v>
      </c>
      <c r="D1099">
        <v>1830</v>
      </c>
      <c r="E1099">
        <v>11</v>
      </c>
      <c r="F1099">
        <v>2004</v>
      </c>
      <c r="G1099">
        <v>0</v>
      </c>
      <c r="H1099">
        <v>0</v>
      </c>
      <c r="I1099">
        <v>0</v>
      </c>
      <c r="J1099" s="2" t="s">
        <v>15</v>
      </c>
    </row>
    <row r="1100" spans="1:10" x14ac:dyDescent="0.2">
      <c r="A1100">
        <v>1099</v>
      </c>
      <c r="B1100" s="2" t="s">
        <v>14</v>
      </c>
      <c r="C1100" s="2" t="s">
        <v>13</v>
      </c>
      <c r="D1100">
        <v>200</v>
      </c>
      <c r="E1100">
        <v>4</v>
      </c>
      <c r="F1100">
        <v>2013</v>
      </c>
      <c r="G1100">
        <v>1</v>
      </c>
      <c r="H1100">
        <v>14</v>
      </c>
      <c r="I1100">
        <v>2013</v>
      </c>
      <c r="J1100" s="2" t="s">
        <v>16</v>
      </c>
    </row>
    <row r="1101" spans="1:10" x14ac:dyDescent="0.2">
      <c r="A1101">
        <v>1100</v>
      </c>
      <c r="B1101" s="2" t="s">
        <v>14</v>
      </c>
      <c r="C1101" s="2" t="s">
        <v>14</v>
      </c>
      <c r="D1101">
        <v>540</v>
      </c>
      <c r="G1101">
        <v>1</v>
      </c>
      <c r="H1101">
        <v>14</v>
      </c>
      <c r="I1101">
        <v>2011</v>
      </c>
      <c r="J1101" s="2" t="s">
        <v>16</v>
      </c>
    </row>
    <row r="1102" spans="1:10" x14ac:dyDescent="0.2">
      <c r="A1102">
        <v>1101</v>
      </c>
      <c r="B1102" s="2" t="s">
        <v>17</v>
      </c>
      <c r="C1102" s="2" t="s">
        <v>13</v>
      </c>
      <c r="D1102">
        <v>4060</v>
      </c>
      <c r="E1102">
        <v>9</v>
      </c>
      <c r="F1102">
        <v>2012</v>
      </c>
      <c r="G1102">
        <v>0</v>
      </c>
      <c r="H1102">
        <v>0</v>
      </c>
      <c r="I1102">
        <v>0</v>
      </c>
      <c r="J1102" s="2" t="s">
        <v>15</v>
      </c>
    </row>
    <row r="1103" spans="1:10" x14ac:dyDescent="0.2">
      <c r="A1103">
        <v>1102</v>
      </c>
      <c r="B1103" s="2" t="s">
        <v>14</v>
      </c>
      <c r="C1103" s="2" t="s">
        <v>14</v>
      </c>
      <c r="D1103">
        <v>850</v>
      </c>
      <c r="E1103">
        <v>11</v>
      </c>
      <c r="F1103">
        <v>2012</v>
      </c>
      <c r="G1103">
        <v>1</v>
      </c>
      <c r="H1103">
        <v>40</v>
      </c>
      <c r="I1103">
        <v>2014</v>
      </c>
      <c r="J1103" s="2" t="s">
        <v>16</v>
      </c>
    </row>
    <row r="1104" spans="1:10" x14ac:dyDescent="0.2">
      <c r="A1104">
        <v>1103</v>
      </c>
      <c r="B1104" s="2" t="s">
        <v>17</v>
      </c>
      <c r="C1104" s="2" t="s">
        <v>13</v>
      </c>
      <c r="D1104">
        <v>1340</v>
      </c>
      <c r="E1104">
        <v>10</v>
      </c>
      <c r="F1104">
        <v>2006</v>
      </c>
      <c r="G1104">
        <v>1</v>
      </c>
      <c r="H1104">
        <v>5</v>
      </c>
      <c r="I1104">
        <v>2013</v>
      </c>
      <c r="J1104" s="2" t="s">
        <v>18</v>
      </c>
    </row>
    <row r="1105" spans="1:10" x14ac:dyDescent="0.2">
      <c r="A1105">
        <v>1104</v>
      </c>
      <c r="B1105" s="2" t="s">
        <v>17</v>
      </c>
      <c r="C1105" s="2" t="s">
        <v>14</v>
      </c>
      <c r="D1105">
        <v>260</v>
      </c>
      <c r="E1105">
        <v>2</v>
      </c>
      <c r="F1105">
        <v>2012</v>
      </c>
      <c r="G1105">
        <v>1</v>
      </c>
      <c r="H1105">
        <v>14</v>
      </c>
      <c r="I1105">
        <v>2011</v>
      </c>
      <c r="J1105" s="2" t="s">
        <v>16</v>
      </c>
    </row>
    <row r="1106" spans="1:10" x14ac:dyDescent="0.2">
      <c r="A1106">
        <v>1105</v>
      </c>
      <c r="B1106" s="2" t="s">
        <v>13</v>
      </c>
      <c r="C1106" s="2" t="s">
        <v>13</v>
      </c>
      <c r="D1106">
        <v>330</v>
      </c>
      <c r="E1106">
        <v>11</v>
      </c>
      <c r="F1106">
        <v>2008</v>
      </c>
      <c r="G1106">
        <v>1</v>
      </c>
      <c r="H1106">
        <v>5</v>
      </c>
      <c r="I1106">
        <v>2013</v>
      </c>
      <c r="J1106" s="2" t="s">
        <v>18</v>
      </c>
    </row>
    <row r="1107" spans="1:10" x14ac:dyDescent="0.2">
      <c r="A1107">
        <v>1106</v>
      </c>
      <c r="B1107" s="2" t="s">
        <v>14</v>
      </c>
      <c r="C1107" s="2" t="s">
        <v>13</v>
      </c>
      <c r="D1107">
        <v>5330</v>
      </c>
      <c r="E1107">
        <v>9</v>
      </c>
      <c r="F1107">
        <v>2011</v>
      </c>
      <c r="G1107">
        <v>1</v>
      </c>
      <c r="H1107">
        <v>31</v>
      </c>
      <c r="I1107">
        <v>2013</v>
      </c>
      <c r="J1107" s="2" t="s">
        <v>16</v>
      </c>
    </row>
    <row r="1108" spans="1:10" x14ac:dyDescent="0.2">
      <c r="A1108">
        <v>1107</v>
      </c>
      <c r="B1108" s="2" t="s">
        <v>14</v>
      </c>
      <c r="C1108" s="2" t="s">
        <v>14</v>
      </c>
      <c r="D1108">
        <v>1400</v>
      </c>
      <c r="E1108">
        <v>6</v>
      </c>
      <c r="F1108">
        <v>2012</v>
      </c>
      <c r="G1108">
        <v>1</v>
      </c>
      <c r="H1108">
        <v>13</v>
      </c>
      <c r="I1108">
        <v>2010</v>
      </c>
      <c r="J1108" s="2" t="s">
        <v>16</v>
      </c>
    </row>
    <row r="1109" spans="1:10" x14ac:dyDescent="0.2">
      <c r="A1109">
        <v>1108</v>
      </c>
      <c r="B1109" s="2" t="s">
        <v>14</v>
      </c>
      <c r="C1109" s="2" t="s">
        <v>14</v>
      </c>
      <c r="D1109">
        <v>540</v>
      </c>
      <c r="E1109">
        <v>4</v>
      </c>
      <c r="F1109">
        <v>2004</v>
      </c>
      <c r="G1109">
        <v>0</v>
      </c>
      <c r="H1109">
        <v>0</v>
      </c>
      <c r="I1109">
        <v>0</v>
      </c>
      <c r="J1109" s="2" t="s">
        <v>15</v>
      </c>
    </row>
    <row r="1110" spans="1:10" x14ac:dyDescent="0.2">
      <c r="A1110">
        <v>1109</v>
      </c>
      <c r="B1110" s="2" t="s">
        <v>13</v>
      </c>
      <c r="C1110" s="2" t="s">
        <v>14</v>
      </c>
      <c r="D1110">
        <v>3490</v>
      </c>
      <c r="E1110">
        <v>4</v>
      </c>
      <c r="F1110">
        <v>2011</v>
      </c>
      <c r="G1110">
        <v>1</v>
      </c>
      <c r="H1110">
        <v>22</v>
      </c>
      <c r="I1110">
        <v>2012</v>
      </c>
      <c r="J1110" s="2" t="s">
        <v>16</v>
      </c>
    </row>
    <row r="1111" spans="1:10" x14ac:dyDescent="0.2">
      <c r="A1111">
        <v>1110</v>
      </c>
      <c r="B1111" s="2" t="s">
        <v>13</v>
      </c>
      <c r="C1111" s="2" t="s">
        <v>13</v>
      </c>
      <c r="D1111">
        <v>900</v>
      </c>
      <c r="E1111">
        <v>9</v>
      </c>
      <c r="F1111">
        <v>2010</v>
      </c>
      <c r="G1111">
        <v>0</v>
      </c>
      <c r="H1111">
        <v>0</v>
      </c>
      <c r="I1111">
        <v>0</v>
      </c>
      <c r="J1111" s="2" t="s">
        <v>15</v>
      </c>
    </row>
    <row r="1112" spans="1:10" x14ac:dyDescent="0.2">
      <c r="A1112">
        <v>1111</v>
      </c>
      <c r="B1112" s="2" t="s">
        <v>14</v>
      </c>
      <c r="C1112" s="2" t="s">
        <v>14</v>
      </c>
      <c r="D1112">
        <v>1900</v>
      </c>
      <c r="E1112">
        <v>6</v>
      </c>
      <c r="F1112">
        <v>2014</v>
      </c>
      <c r="G1112">
        <v>1</v>
      </c>
      <c r="H1112">
        <v>31</v>
      </c>
      <c r="I1112">
        <v>2013</v>
      </c>
      <c r="J1112" s="2" t="s">
        <v>16</v>
      </c>
    </row>
    <row r="1113" spans="1:10" x14ac:dyDescent="0.2">
      <c r="A1113">
        <v>1112</v>
      </c>
      <c r="B1113" s="2" t="s">
        <v>13</v>
      </c>
      <c r="C1113" s="2" t="s">
        <v>13</v>
      </c>
      <c r="D1113">
        <v>1880</v>
      </c>
      <c r="E1113">
        <v>4</v>
      </c>
      <c r="F1113">
        <v>2006</v>
      </c>
      <c r="G1113">
        <v>0</v>
      </c>
      <c r="H1113">
        <v>0</v>
      </c>
      <c r="I1113">
        <v>0</v>
      </c>
      <c r="J1113" s="2" t="s">
        <v>15</v>
      </c>
    </row>
    <row r="1114" spans="1:10" x14ac:dyDescent="0.2">
      <c r="A1114">
        <v>1113</v>
      </c>
      <c r="B1114" s="2" t="s">
        <v>14</v>
      </c>
      <c r="C1114" s="2" t="s">
        <v>13</v>
      </c>
      <c r="D1114">
        <v>9260</v>
      </c>
      <c r="G1114">
        <v>0</v>
      </c>
      <c r="H1114">
        <v>0</v>
      </c>
      <c r="I1114">
        <v>0</v>
      </c>
      <c r="J1114" s="2" t="s">
        <v>15</v>
      </c>
    </row>
    <row r="1115" spans="1:10" x14ac:dyDescent="0.2">
      <c r="A1115">
        <v>1114</v>
      </c>
      <c r="B1115" s="2" t="s">
        <v>14</v>
      </c>
      <c r="C1115" s="2" t="s">
        <v>13</v>
      </c>
      <c r="D1115">
        <v>870</v>
      </c>
      <c r="G1115">
        <v>0</v>
      </c>
      <c r="H1115">
        <v>0</v>
      </c>
      <c r="I1115">
        <v>0</v>
      </c>
      <c r="J1115" s="2" t="s">
        <v>15</v>
      </c>
    </row>
    <row r="1116" spans="1:10" x14ac:dyDescent="0.2">
      <c r="A1116">
        <v>1115</v>
      </c>
      <c r="B1116" s="2" t="s">
        <v>17</v>
      </c>
      <c r="C1116" s="2" t="s">
        <v>13</v>
      </c>
      <c r="D1116">
        <v>5350</v>
      </c>
      <c r="G1116">
        <v>1</v>
      </c>
      <c r="H1116">
        <v>22</v>
      </c>
      <c r="I1116">
        <v>2012</v>
      </c>
      <c r="J1116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120D-CC2B-394E-AB2A-46860EA9DE91}">
  <dimension ref="A3:B8"/>
  <sheetViews>
    <sheetView tabSelected="1" workbookViewId="0">
      <selection activeCell="I27" sqref="I27"/>
    </sheetView>
  </sheetViews>
  <sheetFormatPr baseColWidth="10" defaultRowHeight="16" x14ac:dyDescent="0.2"/>
  <cols>
    <col min="1" max="1" width="13" bestFit="1" customWidth="1"/>
    <col min="2" max="2" width="21.6640625" bestFit="1" customWidth="1"/>
    <col min="3" max="3" width="26.6640625" bestFit="1" customWidth="1"/>
  </cols>
  <sheetData>
    <row r="3" spans="1:2" x14ac:dyDescent="0.2">
      <c r="A3" s="4" t="s">
        <v>21</v>
      </c>
      <c r="B3" t="s">
        <v>23</v>
      </c>
    </row>
    <row r="4" spans="1:2" x14ac:dyDescent="0.2">
      <c r="A4" s="5" t="s">
        <v>14</v>
      </c>
      <c r="B4" s="6">
        <v>6912.5429545177949</v>
      </c>
    </row>
    <row r="5" spans="1:2" x14ac:dyDescent="0.2">
      <c r="A5" s="5" t="s">
        <v>20</v>
      </c>
      <c r="B5" s="6">
        <v>10110.779605453787</v>
      </c>
    </row>
    <row r="6" spans="1:2" x14ac:dyDescent="0.2">
      <c r="A6" s="5" t="s">
        <v>13</v>
      </c>
      <c r="B6" s="6">
        <v>6917.1992665424796</v>
      </c>
    </row>
    <row r="7" spans="1:2" x14ac:dyDescent="0.2">
      <c r="A7" s="5" t="s">
        <v>17</v>
      </c>
      <c r="B7" s="6">
        <v>6823.7437268639396</v>
      </c>
    </row>
    <row r="8" spans="1:2" x14ac:dyDescent="0.2">
      <c r="A8" s="5" t="s">
        <v>22</v>
      </c>
      <c r="B8" s="6">
        <v>6934.2084487079546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1CEB-3131-6649-8947-4774E5447534}">
  <dimension ref="A1:E1116"/>
  <sheetViews>
    <sheetView workbookViewId="0">
      <selection activeCell="D1" sqref="D1:D1116"/>
    </sheetView>
  </sheetViews>
  <sheetFormatPr baseColWidth="10" defaultRowHeight="16" x14ac:dyDescent="0.2"/>
  <cols>
    <col min="1" max="1" width="8" bestFit="1" customWidth="1"/>
    <col min="2" max="2" width="14.83203125" bestFit="1" customWidth="1"/>
    <col min="3" max="3" width="19.83203125" bestFit="1" customWidth="1"/>
    <col min="4" max="4" width="19.5" customWidth="1"/>
    <col min="5" max="5" width="11.83203125" customWidth="1"/>
  </cols>
  <sheetData>
    <row r="1" spans="1:5" ht="17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">
      <c r="A2">
        <v>1</v>
      </c>
      <c r="B2" s="1">
        <v>4759.0960307298337</v>
      </c>
      <c r="C2" s="1">
        <v>564.04993597951341</v>
      </c>
      <c r="D2">
        <f>ROUND(store_performance[[#This Row],[AverageSales]]/store_performance[[#This Row],[AverageCustomers]],2)</f>
        <v>8.44</v>
      </c>
      <c r="E2" t="str">
        <f>_xlfn.XLOOKUP(store_performance[[#This Row],[Store]],store_clean[Store],store_clean[StoreType],"Not Found")</f>
        <v>c</v>
      </c>
    </row>
    <row r="3" spans="1:5" x14ac:dyDescent="0.2">
      <c r="A3">
        <v>2</v>
      </c>
      <c r="B3" s="1">
        <v>4953.9005102040819</v>
      </c>
      <c r="C3" s="1">
        <v>583.9987244897959</v>
      </c>
      <c r="D3">
        <f>ROUND(store_performance[[#This Row],[AverageSales]]/store_performance[[#This Row],[AverageCustomers]],2)</f>
        <v>8.48</v>
      </c>
      <c r="E3" t="str">
        <f>_xlfn.XLOOKUP(store_performance[[#This Row],[Store]],store_clean[Store],store_clean[StoreType],"Not Found")</f>
        <v>a</v>
      </c>
    </row>
    <row r="4" spans="1:5" x14ac:dyDescent="0.2">
      <c r="A4">
        <v>3</v>
      </c>
      <c r="B4" s="1">
        <v>6942.5686777920409</v>
      </c>
      <c r="C4" s="1">
        <v>750.07702182284982</v>
      </c>
      <c r="D4">
        <f>ROUND(store_performance[[#This Row],[AverageSales]]/store_performance[[#This Row],[AverageCustomers]],2)</f>
        <v>9.26</v>
      </c>
      <c r="E4" t="str">
        <f>_xlfn.XLOOKUP(store_performance[[#This Row],[Store]],store_clean[Store],store_clean[StoreType],"Not Found")</f>
        <v>a</v>
      </c>
    </row>
    <row r="5" spans="1:5" x14ac:dyDescent="0.2">
      <c r="A5">
        <v>4</v>
      </c>
      <c r="B5" s="1">
        <v>9638.4017857142862</v>
      </c>
      <c r="C5" s="1">
        <v>1321.7525510204082</v>
      </c>
      <c r="D5">
        <f>ROUND(store_performance[[#This Row],[AverageSales]]/store_performance[[#This Row],[AverageCustomers]],2)</f>
        <v>7.29</v>
      </c>
      <c r="E5" t="str">
        <f>_xlfn.XLOOKUP(store_performance[[#This Row],[Store]],store_clean[Store],store_clean[StoreType],"Not Found")</f>
        <v>c</v>
      </c>
    </row>
    <row r="6" spans="1:5" x14ac:dyDescent="0.2">
      <c r="A6">
        <v>5</v>
      </c>
      <c r="B6" s="1">
        <v>4676.2747111681647</v>
      </c>
      <c r="C6" s="1">
        <v>537.34017971758669</v>
      </c>
      <c r="D6">
        <f>ROUND(store_performance[[#This Row],[AverageSales]]/store_performance[[#This Row],[AverageCustomers]],2)</f>
        <v>8.6999999999999993</v>
      </c>
      <c r="E6" t="str">
        <f>_xlfn.XLOOKUP(store_performance[[#This Row],[Store]],store_clean[Store],store_clean[StoreType],"Not Found")</f>
        <v>a</v>
      </c>
    </row>
    <row r="7" spans="1:5" x14ac:dyDescent="0.2">
      <c r="A7">
        <v>6</v>
      </c>
      <c r="B7" s="1">
        <v>5509.9461538461537</v>
      </c>
      <c r="C7" s="1">
        <v>635.23461538461538</v>
      </c>
      <c r="D7">
        <f>ROUND(store_performance[[#This Row],[AverageSales]]/store_performance[[#This Row],[AverageCustomers]],2)</f>
        <v>8.67</v>
      </c>
      <c r="E7" t="str">
        <f>_xlfn.XLOOKUP(store_performance[[#This Row],[Store]],store_clean[Store],store_clean[StoreType],"Not Found")</f>
        <v>a</v>
      </c>
    </row>
    <row r="8" spans="1:5" x14ac:dyDescent="0.2">
      <c r="A8">
        <v>7</v>
      </c>
      <c r="B8" s="1">
        <v>8817.0508905852421</v>
      </c>
      <c r="C8" s="1">
        <v>948.56106870229007</v>
      </c>
      <c r="D8">
        <f>ROUND(store_performance[[#This Row],[AverageSales]]/store_performance[[#This Row],[AverageCustomers]],2)</f>
        <v>9.3000000000000007</v>
      </c>
      <c r="E8" t="str">
        <f>_xlfn.XLOOKUP(store_performance[[#This Row],[Store]],store_clean[Store],store_clean[StoreType],"Not Found")</f>
        <v>a</v>
      </c>
    </row>
    <row r="9" spans="1:5" x14ac:dyDescent="0.2">
      <c r="A9">
        <v>8</v>
      </c>
      <c r="B9" s="1">
        <v>5539.3584183673465</v>
      </c>
      <c r="C9" s="1">
        <v>658.19770408163265</v>
      </c>
      <c r="D9">
        <f>ROUND(store_performance[[#This Row],[AverageSales]]/store_performance[[#This Row],[AverageCustomers]],2)</f>
        <v>8.42</v>
      </c>
      <c r="E9" t="str">
        <f>_xlfn.XLOOKUP(store_performance[[#This Row],[Store]],store_clean[Store],store_clean[StoreType],"Not Found")</f>
        <v>a</v>
      </c>
    </row>
    <row r="10" spans="1:5" x14ac:dyDescent="0.2">
      <c r="A10">
        <v>9</v>
      </c>
      <c r="B10" s="1">
        <v>6562.3376123234921</v>
      </c>
      <c r="C10" s="1">
        <v>579.8164313222079</v>
      </c>
      <c r="D10">
        <f>ROUND(store_performance[[#This Row],[AverageSales]]/store_performance[[#This Row],[AverageCustomers]],2)</f>
        <v>11.32</v>
      </c>
      <c r="E10" t="str">
        <f>_xlfn.XLOOKUP(store_performance[[#This Row],[Store]],store_clean[Store],store_clean[StoreType],"Not Found")</f>
        <v>a</v>
      </c>
    </row>
    <row r="11" spans="1:5" x14ac:dyDescent="0.2">
      <c r="A11">
        <v>10</v>
      </c>
      <c r="B11" s="1">
        <v>5568.4209183673465</v>
      </c>
      <c r="C11" s="1">
        <v>593.95535714285711</v>
      </c>
      <c r="D11">
        <f>ROUND(store_performance[[#This Row],[AverageSales]]/store_performance[[#This Row],[AverageCustomers]],2)</f>
        <v>9.3800000000000008</v>
      </c>
      <c r="E11" t="str">
        <f>_xlfn.XLOOKUP(store_performance[[#This Row],[Store]],store_clean[Store],store_clean[StoreType],"Not Found")</f>
        <v>a</v>
      </c>
    </row>
    <row r="12" spans="1:5" x14ac:dyDescent="0.2">
      <c r="A12">
        <v>11</v>
      </c>
      <c r="B12" s="1">
        <v>8030.9770408163267</v>
      </c>
      <c r="C12" s="1">
        <v>1130.091836734694</v>
      </c>
      <c r="D12">
        <f>ROUND(store_performance[[#This Row],[AverageSales]]/store_performance[[#This Row],[AverageCustomers]],2)</f>
        <v>7.11</v>
      </c>
      <c r="E12" t="str">
        <f>_xlfn.XLOOKUP(store_performance[[#This Row],[Store]],store_clean[Store],store_clean[StoreType],"Not Found")</f>
        <v>a</v>
      </c>
    </row>
    <row r="13" spans="1:5" x14ac:dyDescent="0.2">
      <c r="A13">
        <v>12</v>
      </c>
      <c r="B13" s="1">
        <v>7589.5982142857147</v>
      </c>
      <c r="C13" s="1">
        <v>896.95280612244903</v>
      </c>
      <c r="D13">
        <f>ROUND(store_performance[[#This Row],[AverageSales]]/store_performance[[#This Row],[AverageCustomers]],2)</f>
        <v>8.4600000000000009</v>
      </c>
      <c r="E13" t="str">
        <f>_xlfn.XLOOKUP(store_performance[[#This Row],[Store]],store_clean[Store],store_clean[StoreType],"Not Found")</f>
        <v>a</v>
      </c>
    </row>
    <row r="14" spans="1:5" x14ac:dyDescent="0.2">
      <c r="A14">
        <v>13</v>
      </c>
      <c r="B14" s="1">
        <v>5034.7471819645734</v>
      </c>
      <c r="C14" s="1">
        <v>382.83413848631238</v>
      </c>
      <c r="D14">
        <f>ROUND(store_performance[[#This Row],[AverageSales]]/store_performance[[#This Row],[AverageCustomers]],2)</f>
        <v>13.15</v>
      </c>
      <c r="E14" t="str">
        <f>_xlfn.XLOOKUP(store_performance[[#This Row],[Store]],store_clean[Store],store_clean[StoreType],"Not Found")</f>
        <v>d</v>
      </c>
    </row>
    <row r="15" spans="1:5" x14ac:dyDescent="0.2">
      <c r="A15">
        <v>14</v>
      </c>
      <c r="B15" s="1">
        <v>5508.5673940949937</v>
      </c>
      <c r="C15" s="1">
        <v>631.46726572528883</v>
      </c>
      <c r="D15">
        <f>ROUND(store_performance[[#This Row],[AverageSales]]/store_performance[[#This Row],[AverageCustomers]],2)</f>
        <v>8.7200000000000006</v>
      </c>
      <c r="E15" t="str">
        <f>_xlfn.XLOOKUP(store_performance[[#This Row],[Store]],store_clean[Store],store_clean[StoreType],"Not Found")</f>
        <v>a</v>
      </c>
    </row>
    <row r="16" spans="1:5" x14ac:dyDescent="0.2">
      <c r="A16">
        <v>15</v>
      </c>
      <c r="B16" s="1">
        <v>6672.8443877551017</v>
      </c>
      <c r="C16" s="1">
        <v>663.40178571428567</v>
      </c>
      <c r="D16">
        <f>ROUND(store_performance[[#This Row],[AverageSales]]/store_performance[[#This Row],[AverageCustomers]],2)</f>
        <v>10.06</v>
      </c>
      <c r="E16" t="str">
        <f>_xlfn.XLOOKUP(store_performance[[#This Row],[Store]],store_clean[Store],store_clean[StoreType],"Not Found")</f>
        <v>d</v>
      </c>
    </row>
    <row r="17" spans="1:5" x14ac:dyDescent="0.2">
      <c r="A17">
        <v>16</v>
      </c>
      <c r="B17" s="1">
        <v>7680.6833976833977</v>
      </c>
      <c r="C17" s="1">
        <v>852.47747747747746</v>
      </c>
      <c r="D17">
        <f>ROUND(store_performance[[#This Row],[AverageSales]]/store_performance[[#This Row],[AverageCustomers]],2)</f>
        <v>9.01</v>
      </c>
      <c r="E17" t="str">
        <f>_xlfn.XLOOKUP(store_performance[[#This Row],[Store]],store_clean[Store],store_clean[StoreType],"Not Found")</f>
        <v>a</v>
      </c>
    </row>
    <row r="18" spans="1:5" x14ac:dyDescent="0.2">
      <c r="A18">
        <v>17</v>
      </c>
      <c r="B18" s="1">
        <v>6335.6624040920715</v>
      </c>
      <c r="C18" s="1">
        <v>791.67519181585681</v>
      </c>
      <c r="D18">
        <f>ROUND(store_performance[[#This Row],[AverageSales]]/store_performance[[#This Row],[AverageCustomers]],2)</f>
        <v>8</v>
      </c>
      <c r="E18" t="str">
        <f>_xlfn.XLOOKUP(store_performance[[#This Row],[Store]],store_clean[Store],store_clean[StoreType],"Not Found")</f>
        <v>a</v>
      </c>
    </row>
    <row r="19" spans="1:5" x14ac:dyDescent="0.2">
      <c r="A19">
        <v>18</v>
      </c>
      <c r="B19" s="1">
        <v>6560.2774936061378</v>
      </c>
      <c r="C19" s="1">
        <v>713.28005115089513</v>
      </c>
      <c r="D19">
        <f>ROUND(store_performance[[#This Row],[AverageSales]]/store_performance[[#This Row],[AverageCustomers]],2)</f>
        <v>9.1999999999999993</v>
      </c>
      <c r="E19" t="str">
        <f>_xlfn.XLOOKUP(store_performance[[#This Row],[Store]],store_clean[Store],store_clean[StoreType],"Not Found")</f>
        <v>d</v>
      </c>
    </row>
    <row r="20" spans="1:5" x14ac:dyDescent="0.2">
      <c r="A20">
        <v>19</v>
      </c>
      <c r="B20" s="1">
        <v>6464.9152759948656</v>
      </c>
      <c r="C20" s="1">
        <v>624.67008985879329</v>
      </c>
      <c r="D20">
        <f>ROUND(store_performance[[#This Row],[AverageSales]]/store_performance[[#This Row],[AverageCustomers]],2)</f>
        <v>10.35</v>
      </c>
      <c r="E20" t="str">
        <f>_xlfn.XLOOKUP(store_performance[[#This Row],[Store]],store_clean[Store],store_clean[StoreType],"Not Found")</f>
        <v>a</v>
      </c>
    </row>
    <row r="21" spans="1:5" x14ac:dyDescent="0.2">
      <c r="A21">
        <v>20</v>
      </c>
      <c r="B21" s="1">
        <v>7756.9353796445885</v>
      </c>
      <c r="C21" s="1">
        <v>848.55896607431339</v>
      </c>
      <c r="D21">
        <f>ROUND(store_performance[[#This Row],[AverageSales]]/store_performance[[#This Row],[AverageCustomers]],2)</f>
        <v>9.14</v>
      </c>
      <c r="E21" t="str">
        <f>_xlfn.XLOOKUP(store_performance[[#This Row],[Store]],store_clean[Store],store_clean[StoreType],"Not Found")</f>
        <v>d</v>
      </c>
    </row>
    <row r="22" spans="1:5" x14ac:dyDescent="0.2">
      <c r="A22">
        <v>21</v>
      </c>
      <c r="B22" s="1">
        <v>5482.3204633204632</v>
      </c>
      <c r="C22" s="1">
        <v>516.36164736164733</v>
      </c>
      <c r="D22">
        <f>ROUND(store_performance[[#This Row],[AverageSales]]/store_performance[[#This Row],[AverageCustomers]],2)</f>
        <v>10.62</v>
      </c>
      <c r="E22" t="str">
        <f>_xlfn.XLOOKUP(store_performance[[#This Row],[Store]],store_clean[Store],store_clean[StoreType],"Not Found")</f>
        <v>c</v>
      </c>
    </row>
    <row r="23" spans="1:5" x14ac:dyDescent="0.2">
      <c r="A23">
        <v>22</v>
      </c>
      <c r="B23" s="1">
        <v>4525.8578352180939</v>
      </c>
      <c r="C23" s="1">
        <v>504.2471728594507</v>
      </c>
      <c r="D23">
        <f>ROUND(store_performance[[#This Row],[AverageSales]]/store_performance[[#This Row],[AverageCustomers]],2)</f>
        <v>8.98</v>
      </c>
      <c r="E23" t="str">
        <f>_xlfn.XLOOKUP(store_performance[[#This Row],[Store]],store_clean[Store],store_clean[StoreType],"Not Found")</f>
        <v>a</v>
      </c>
    </row>
    <row r="24" spans="1:5" x14ac:dyDescent="0.2">
      <c r="A24">
        <v>23</v>
      </c>
      <c r="B24" s="1">
        <v>5520.2811296534019</v>
      </c>
      <c r="C24" s="1">
        <v>482.43645699614893</v>
      </c>
      <c r="D24">
        <f>ROUND(store_performance[[#This Row],[AverageSales]]/store_performance[[#This Row],[AverageCustomers]],2)</f>
        <v>11.44</v>
      </c>
      <c r="E24" t="str">
        <f>_xlfn.XLOOKUP(store_performance[[#This Row],[Store]],store_clean[Store],store_clean[StoreType],"Not Found")</f>
        <v>d</v>
      </c>
    </row>
    <row r="25" spans="1:5" x14ac:dyDescent="0.2">
      <c r="A25">
        <v>24</v>
      </c>
      <c r="B25" s="1">
        <v>9388.2862644415909</v>
      </c>
      <c r="C25" s="1">
        <v>835.43003851091146</v>
      </c>
      <c r="D25">
        <f>ROUND(store_performance[[#This Row],[AverageSales]]/store_performance[[#This Row],[AverageCustomers]],2)</f>
        <v>11.24</v>
      </c>
      <c r="E25" t="str">
        <f>_xlfn.XLOOKUP(store_performance[[#This Row],[Store]],store_clean[Store],store_clean[StoreType],"Not Found")</f>
        <v>a</v>
      </c>
    </row>
    <row r="26" spans="1:5" x14ac:dyDescent="0.2">
      <c r="A26">
        <v>25</v>
      </c>
      <c r="B26" s="1">
        <v>11139.038563829787</v>
      </c>
      <c r="C26" s="1">
        <v>1566.186170212766</v>
      </c>
      <c r="D26">
        <f>ROUND(store_performance[[#This Row],[AverageSales]]/store_performance[[#This Row],[AverageCustomers]],2)</f>
        <v>7.11</v>
      </c>
      <c r="E26" t="str">
        <f>_xlfn.XLOOKUP(store_performance[[#This Row],[Store]],store_clean[Store],store_clean[StoreType],"Not Found")</f>
        <v>c</v>
      </c>
    </row>
    <row r="27" spans="1:5" x14ac:dyDescent="0.2">
      <c r="A27">
        <v>26</v>
      </c>
      <c r="B27" s="1">
        <v>6671.695652173913</v>
      </c>
      <c r="C27" s="1">
        <v>556.07289002557548</v>
      </c>
      <c r="D27">
        <f>ROUND(store_performance[[#This Row],[AverageSales]]/store_performance[[#This Row],[AverageCustomers]],2)</f>
        <v>12</v>
      </c>
      <c r="E27" t="str">
        <f>_xlfn.XLOOKUP(store_performance[[#This Row],[Store]],store_clean[Store],store_clean[StoreType],"Not Found")</f>
        <v>d</v>
      </c>
    </row>
    <row r="28" spans="1:5" x14ac:dyDescent="0.2">
      <c r="A28">
        <v>27</v>
      </c>
      <c r="B28" s="1">
        <v>9478.5738125802309</v>
      </c>
      <c r="C28" s="1">
        <v>1074.7586649550706</v>
      </c>
      <c r="D28">
        <f>ROUND(store_performance[[#This Row],[AverageSales]]/store_performance[[#This Row],[AverageCustomers]],2)</f>
        <v>8.82</v>
      </c>
      <c r="E28" t="str">
        <f>_xlfn.XLOOKUP(store_performance[[#This Row],[Store]],store_clean[Store],store_clean[StoreType],"Not Found")</f>
        <v>a</v>
      </c>
    </row>
    <row r="29" spans="1:5" x14ac:dyDescent="0.2">
      <c r="A29">
        <v>28</v>
      </c>
      <c r="B29" s="1">
        <v>5293.0609597924777</v>
      </c>
      <c r="C29" s="1">
        <v>581.31776913099873</v>
      </c>
      <c r="D29">
        <f>ROUND(store_performance[[#This Row],[AverageSales]]/store_performance[[#This Row],[AverageCustomers]],2)</f>
        <v>9.11</v>
      </c>
      <c r="E29" t="str">
        <f>_xlfn.XLOOKUP(store_performance[[#This Row],[Store]],store_clean[Store],store_clean[StoreType],"Not Found")</f>
        <v>a</v>
      </c>
    </row>
    <row r="30" spans="1:5" x14ac:dyDescent="0.2">
      <c r="A30">
        <v>29</v>
      </c>
      <c r="B30" s="1">
        <v>7364.7753530166883</v>
      </c>
      <c r="C30" s="1">
        <v>653.70089858793324</v>
      </c>
      <c r="D30">
        <f>ROUND(store_performance[[#This Row],[AverageSales]]/store_performance[[#This Row],[AverageCustomers]],2)</f>
        <v>11.27</v>
      </c>
      <c r="E30" t="str">
        <f>_xlfn.XLOOKUP(store_performance[[#This Row],[Store]],store_clean[Store],store_clean[StoreType],"Not Found")</f>
        <v>d</v>
      </c>
    </row>
    <row r="31" spans="1:5" x14ac:dyDescent="0.2">
      <c r="A31">
        <v>30</v>
      </c>
      <c r="B31" s="1">
        <v>5294.7824967824972</v>
      </c>
      <c r="C31" s="1">
        <v>777.12741312741309</v>
      </c>
      <c r="D31">
        <f>ROUND(store_performance[[#This Row],[AverageSales]]/store_performance[[#This Row],[AverageCustomers]],2)</f>
        <v>6.81</v>
      </c>
      <c r="E31" t="str">
        <f>_xlfn.XLOOKUP(store_performance[[#This Row],[Store]],store_clean[Store],store_clean[StoreType],"Not Found")</f>
        <v>a</v>
      </c>
    </row>
    <row r="32" spans="1:5" x14ac:dyDescent="0.2">
      <c r="A32">
        <v>31</v>
      </c>
      <c r="B32" s="1">
        <v>5862.4272959183672</v>
      </c>
      <c r="C32" s="1">
        <v>586.05102040816325</v>
      </c>
      <c r="D32">
        <f>ROUND(store_performance[[#This Row],[AverageSales]]/store_performance[[#This Row],[AverageCustomers]],2)</f>
        <v>10</v>
      </c>
      <c r="E32" t="str">
        <f>_xlfn.XLOOKUP(store_performance[[#This Row],[Store]],store_clean[Store],store_clean[StoreType],"Not Found")</f>
        <v>d</v>
      </c>
    </row>
    <row r="33" spans="1:5" x14ac:dyDescent="0.2">
      <c r="A33">
        <v>32</v>
      </c>
      <c r="B33" s="1">
        <v>4067.8212560386473</v>
      </c>
      <c r="C33" s="1">
        <v>477.1867954911433</v>
      </c>
      <c r="D33">
        <f>ROUND(store_performance[[#This Row],[AverageSales]]/store_performance[[#This Row],[AverageCustomers]],2)</f>
        <v>8.52</v>
      </c>
      <c r="E33" t="str">
        <f>_xlfn.XLOOKUP(store_performance[[#This Row],[Store]],store_clean[Store],store_clean[StoreType],"Not Found")</f>
        <v>a</v>
      </c>
    </row>
    <row r="34" spans="1:5" x14ac:dyDescent="0.2">
      <c r="A34">
        <v>33</v>
      </c>
      <c r="B34" s="1">
        <v>8436.6598202824134</v>
      </c>
      <c r="C34" s="1">
        <v>836.30937098844674</v>
      </c>
      <c r="D34">
        <f>ROUND(store_performance[[#This Row],[AverageSales]]/store_performance[[#This Row],[AverageCustomers]],2)</f>
        <v>10.09</v>
      </c>
      <c r="E34" t="str">
        <f>_xlfn.XLOOKUP(store_performance[[#This Row],[Store]],store_clean[Store],store_clean[StoreType],"Not Found")</f>
        <v>a</v>
      </c>
    </row>
    <row r="35" spans="1:5" x14ac:dyDescent="0.2">
      <c r="A35">
        <v>34</v>
      </c>
      <c r="B35" s="1">
        <v>8031.4859693877552</v>
      </c>
      <c r="C35" s="1">
        <v>993.4591836734694</v>
      </c>
      <c r="D35">
        <f>ROUND(store_performance[[#This Row],[AverageSales]]/store_performance[[#This Row],[AverageCustomers]],2)</f>
        <v>8.08</v>
      </c>
      <c r="E35" t="str">
        <f>_xlfn.XLOOKUP(store_performance[[#This Row],[Store]],store_clean[Store],store_clean[StoreType],"Not Found")</f>
        <v>c</v>
      </c>
    </row>
    <row r="36" spans="1:5" x14ac:dyDescent="0.2">
      <c r="A36">
        <v>35</v>
      </c>
      <c r="B36" s="1">
        <v>9703.0718870346591</v>
      </c>
      <c r="C36" s="1">
        <v>729.65468549422337</v>
      </c>
      <c r="D36">
        <f>ROUND(store_performance[[#This Row],[AverageSales]]/store_performance[[#This Row],[AverageCustomers]],2)</f>
        <v>13.3</v>
      </c>
      <c r="E36" t="str">
        <f>_xlfn.XLOOKUP(store_performance[[#This Row],[Store]],store_clean[Store],store_clean[StoreType],"Not Found")</f>
        <v>d</v>
      </c>
    </row>
    <row r="37" spans="1:5" x14ac:dyDescent="0.2">
      <c r="A37">
        <v>36</v>
      </c>
      <c r="B37" s="1">
        <v>9363.6382636655944</v>
      </c>
      <c r="C37" s="1">
        <v>1090.3183279742766</v>
      </c>
      <c r="D37">
        <f>ROUND(store_performance[[#This Row],[AverageSales]]/store_performance[[#This Row],[AverageCustomers]],2)</f>
        <v>8.59</v>
      </c>
      <c r="E37" t="str">
        <f>_xlfn.XLOOKUP(store_performance[[#This Row],[Store]],store_clean[Store],store_clean[StoreType],"Not Found")</f>
        <v>a</v>
      </c>
    </row>
    <row r="38" spans="1:5" x14ac:dyDescent="0.2">
      <c r="A38">
        <v>37</v>
      </c>
      <c r="B38" s="1">
        <v>7114.1705128205131</v>
      </c>
      <c r="C38" s="1">
        <v>781.09102564102568</v>
      </c>
      <c r="D38">
        <f>ROUND(store_performance[[#This Row],[AverageSales]]/store_performance[[#This Row],[AverageCustomers]],2)</f>
        <v>9.11</v>
      </c>
      <c r="E38" t="str">
        <f>_xlfn.XLOOKUP(store_performance[[#This Row],[Store]],store_clean[Store],store_clean[StoreType],"Not Found")</f>
        <v>c</v>
      </c>
    </row>
    <row r="39" spans="1:5" x14ac:dyDescent="0.2">
      <c r="A39">
        <v>38</v>
      </c>
      <c r="B39" s="1">
        <v>6004.6431322207955</v>
      </c>
      <c r="C39" s="1">
        <v>535.34531450577663</v>
      </c>
      <c r="D39">
        <f>ROUND(store_performance[[#This Row],[AverageSales]]/store_performance[[#This Row],[AverageCustomers]],2)</f>
        <v>11.22</v>
      </c>
      <c r="E39" t="str">
        <f>_xlfn.XLOOKUP(store_performance[[#This Row],[Store]],store_clean[Store],store_clean[StoreType],"Not Found")</f>
        <v>d</v>
      </c>
    </row>
    <row r="40" spans="1:5" x14ac:dyDescent="0.2">
      <c r="A40">
        <v>39</v>
      </c>
      <c r="B40" s="1">
        <v>4852.5712451861364</v>
      </c>
      <c r="C40" s="1">
        <v>629.61617458279841</v>
      </c>
      <c r="D40">
        <f>ROUND(store_performance[[#This Row],[AverageSales]]/store_performance[[#This Row],[AverageCustomers]],2)</f>
        <v>7.71</v>
      </c>
      <c r="E40" t="str">
        <f>_xlfn.XLOOKUP(store_performance[[#This Row],[Store]],store_clean[Store],store_clean[StoreType],"Not Found")</f>
        <v>a</v>
      </c>
    </row>
    <row r="41" spans="1:5" x14ac:dyDescent="0.2">
      <c r="A41">
        <v>40</v>
      </c>
      <c r="B41" s="1">
        <v>4902.3389175257735</v>
      </c>
      <c r="C41" s="1">
        <v>663.82087628865975</v>
      </c>
      <c r="D41">
        <f>ROUND(store_performance[[#This Row],[AverageSales]]/store_performance[[#This Row],[AverageCustomers]],2)</f>
        <v>7.39</v>
      </c>
      <c r="E41" t="str">
        <f>_xlfn.XLOOKUP(store_performance[[#This Row],[Store]],store_clean[Store],store_clean[StoreType],"Not Found")</f>
        <v>a</v>
      </c>
    </row>
    <row r="42" spans="1:5" x14ac:dyDescent="0.2">
      <c r="A42">
        <v>41</v>
      </c>
      <c r="B42" s="1">
        <v>5335.0594855305462</v>
      </c>
      <c r="C42" s="1">
        <v>397.95980707395501</v>
      </c>
      <c r="D42">
        <f>ROUND(store_performance[[#This Row],[AverageSales]]/store_performance[[#This Row],[AverageCustomers]],2)</f>
        <v>13.41</v>
      </c>
      <c r="E42" t="str">
        <f>_xlfn.XLOOKUP(store_performance[[#This Row],[Store]],store_clean[Store],store_clean[StoreType],"Not Found")</f>
        <v>d</v>
      </c>
    </row>
    <row r="43" spans="1:5" x14ac:dyDescent="0.2">
      <c r="A43">
        <v>42</v>
      </c>
      <c r="B43" s="1">
        <v>10178.136071887035</v>
      </c>
      <c r="C43" s="1">
        <v>1100.0487804878048</v>
      </c>
      <c r="D43">
        <f>ROUND(store_performance[[#This Row],[AverageSales]]/store_performance[[#This Row],[AverageCustomers]],2)</f>
        <v>9.25</v>
      </c>
      <c r="E43" t="str">
        <f>_xlfn.XLOOKUP(store_performance[[#This Row],[Store]],store_clean[Store],store_clean[StoreType],"Not Found")</f>
        <v>a</v>
      </c>
    </row>
    <row r="44" spans="1:5" x14ac:dyDescent="0.2">
      <c r="A44">
        <v>43</v>
      </c>
      <c r="B44" s="1">
        <v>6822.9139922978175</v>
      </c>
      <c r="C44" s="1">
        <v>610.15917843388956</v>
      </c>
      <c r="D44">
        <f>ROUND(store_performance[[#This Row],[AverageSales]]/store_performance[[#This Row],[AverageCustomers]],2)</f>
        <v>11.18</v>
      </c>
      <c r="E44" t="str">
        <f>_xlfn.XLOOKUP(store_performance[[#This Row],[Store]],store_clean[Store],store_clean[StoreType],"Not Found")</f>
        <v>d</v>
      </c>
    </row>
    <row r="45" spans="1:5" x14ac:dyDescent="0.2">
      <c r="A45">
        <v>44</v>
      </c>
      <c r="B45" s="1">
        <v>5478.5</v>
      </c>
      <c r="C45" s="1">
        <v>640.05867346938771</v>
      </c>
      <c r="D45">
        <f>ROUND(store_performance[[#This Row],[AverageSales]]/store_performance[[#This Row],[AverageCustomers]],2)</f>
        <v>8.56</v>
      </c>
      <c r="E45" t="str">
        <f>_xlfn.XLOOKUP(store_performance[[#This Row],[Store]],store_clean[Store],store_clean[StoreType],"Not Found")</f>
        <v>a</v>
      </c>
    </row>
    <row r="46" spans="1:5" x14ac:dyDescent="0.2">
      <c r="A46">
        <v>45</v>
      </c>
      <c r="B46" s="1">
        <v>5348.469833119384</v>
      </c>
      <c r="C46" s="1">
        <v>415.38125802310657</v>
      </c>
      <c r="D46">
        <f>ROUND(store_performance[[#This Row],[AverageSales]]/store_performance[[#This Row],[AverageCustomers]],2)</f>
        <v>12.88</v>
      </c>
      <c r="E46" t="str">
        <f>_xlfn.XLOOKUP(store_performance[[#This Row],[Store]],store_clean[Store],store_clean[StoreType],"Not Found")</f>
        <v>d</v>
      </c>
    </row>
    <row r="47" spans="1:5" x14ac:dyDescent="0.2">
      <c r="A47">
        <v>46</v>
      </c>
      <c r="B47" s="1">
        <v>5352.2909967845662</v>
      </c>
      <c r="C47" s="1">
        <v>660.50160771704179</v>
      </c>
      <c r="D47">
        <f>ROUND(store_performance[[#This Row],[AverageSales]]/store_performance[[#This Row],[AverageCustomers]],2)</f>
        <v>8.1</v>
      </c>
      <c r="E47" t="str">
        <f>_xlfn.XLOOKUP(store_performance[[#This Row],[Store]],store_clean[Store],store_clean[StoreType],"Not Found")</f>
        <v>c</v>
      </c>
    </row>
    <row r="48" spans="1:5" x14ac:dyDescent="0.2">
      <c r="A48">
        <v>47</v>
      </c>
      <c r="B48" s="1">
        <v>7145.1020408163267</v>
      </c>
      <c r="C48" s="1">
        <v>920.65051020408168</v>
      </c>
      <c r="D48">
        <f>ROUND(store_performance[[#This Row],[AverageSales]]/store_performance[[#This Row],[AverageCustomers]],2)</f>
        <v>7.76</v>
      </c>
      <c r="E48" t="str">
        <f>_xlfn.XLOOKUP(store_performance[[#This Row],[Store]],store_clean[Store],store_clean[StoreType],"Not Found")</f>
        <v>a</v>
      </c>
    </row>
    <row r="49" spans="1:5" x14ac:dyDescent="0.2">
      <c r="A49">
        <v>48</v>
      </c>
      <c r="B49" s="1">
        <v>3934.966836734694</v>
      </c>
      <c r="C49" s="1">
        <v>429.23341836734693</v>
      </c>
      <c r="D49">
        <f>ROUND(store_performance[[#This Row],[AverageSales]]/store_performance[[#This Row],[AverageCustomers]],2)</f>
        <v>9.17</v>
      </c>
      <c r="E49" t="str">
        <f>_xlfn.XLOOKUP(store_performance[[#This Row],[Store]],store_clean[Store],store_clean[StoreType],"Not Found")</f>
        <v>a</v>
      </c>
    </row>
    <row r="50" spans="1:5" x14ac:dyDescent="0.2">
      <c r="A50">
        <v>49</v>
      </c>
      <c r="B50" s="1">
        <v>7304.1132561132563</v>
      </c>
      <c r="C50" s="1">
        <v>531.70785070785075</v>
      </c>
      <c r="D50">
        <f>ROUND(store_performance[[#This Row],[AverageSales]]/store_performance[[#This Row],[AverageCustomers]],2)</f>
        <v>13.74</v>
      </c>
      <c r="E50" t="str">
        <f>_xlfn.XLOOKUP(store_performance[[#This Row],[Store]],store_clean[Store],store_clean[StoreType],"Not Found")</f>
        <v>d</v>
      </c>
    </row>
    <row r="51" spans="1:5" x14ac:dyDescent="0.2">
      <c r="A51">
        <v>50</v>
      </c>
      <c r="B51" s="1">
        <v>4256.0706033376127</v>
      </c>
      <c r="C51" s="1">
        <v>358.7997432605905</v>
      </c>
      <c r="D51">
        <f>ROUND(store_performance[[#This Row],[AverageSales]]/store_performance[[#This Row],[AverageCustomers]],2)</f>
        <v>11.86</v>
      </c>
      <c r="E51" t="str">
        <f>_xlfn.XLOOKUP(store_performance[[#This Row],[Store]],store_clean[Store],store_clean[StoreType],"Not Found")</f>
        <v>d</v>
      </c>
    </row>
    <row r="52" spans="1:5" x14ac:dyDescent="0.2">
      <c r="A52">
        <v>51</v>
      </c>
      <c r="B52" s="1">
        <v>6675.2861736334407</v>
      </c>
      <c r="C52" s="1">
        <v>496.9871382636656</v>
      </c>
      <c r="D52">
        <f>ROUND(store_performance[[#This Row],[AverageSales]]/store_performance[[#This Row],[AverageCustomers]],2)</f>
        <v>13.43</v>
      </c>
      <c r="E52" t="str">
        <f>_xlfn.XLOOKUP(store_performance[[#This Row],[Store]],store_clean[Store],store_clean[StoreType],"Not Found")</f>
        <v>a</v>
      </c>
    </row>
    <row r="53" spans="1:5" x14ac:dyDescent="0.2">
      <c r="A53">
        <v>52</v>
      </c>
      <c r="B53" s="1">
        <v>7407.9453376205784</v>
      </c>
      <c r="C53" s="1">
        <v>503.49839228295821</v>
      </c>
      <c r="D53">
        <f>ROUND(store_performance[[#This Row],[AverageSales]]/store_performance[[#This Row],[AverageCustomers]],2)</f>
        <v>14.71</v>
      </c>
      <c r="E53" t="str">
        <f>_xlfn.XLOOKUP(store_performance[[#This Row],[Store]],store_clean[Store],store_clean[StoreType],"Not Found")</f>
        <v>d</v>
      </c>
    </row>
    <row r="54" spans="1:5" x14ac:dyDescent="0.2">
      <c r="A54">
        <v>53</v>
      </c>
      <c r="B54" s="1">
        <v>5264.8073979591836</v>
      </c>
      <c r="C54" s="1">
        <v>566.7091836734694</v>
      </c>
      <c r="D54">
        <f>ROUND(store_performance[[#This Row],[AverageSales]]/store_performance[[#This Row],[AverageCustomers]],2)</f>
        <v>9.2899999999999991</v>
      </c>
      <c r="E54" t="str">
        <f>_xlfn.XLOOKUP(store_performance[[#This Row],[Store]],store_clean[Store],store_clean[StoreType],"Not Found")</f>
        <v>a</v>
      </c>
    </row>
    <row r="55" spans="1:5" x14ac:dyDescent="0.2">
      <c r="A55">
        <v>54</v>
      </c>
      <c r="B55" s="1">
        <v>7907.5388535031843</v>
      </c>
      <c r="C55" s="1">
        <v>730.47898089171974</v>
      </c>
      <c r="D55">
        <f>ROUND(store_performance[[#This Row],[AverageSales]]/store_performance[[#This Row],[AverageCustomers]],2)</f>
        <v>10.83</v>
      </c>
      <c r="E55" t="str">
        <f>_xlfn.XLOOKUP(store_performance[[#This Row],[Store]],store_clean[Store],store_clean[StoreType],"Not Found")</f>
        <v>d</v>
      </c>
    </row>
    <row r="56" spans="1:5" x14ac:dyDescent="0.2">
      <c r="A56">
        <v>55</v>
      </c>
      <c r="B56" s="1">
        <v>4598.9897435897437</v>
      </c>
      <c r="C56" s="1">
        <v>558.96410256410252</v>
      </c>
      <c r="D56">
        <f>ROUND(store_performance[[#This Row],[AverageSales]]/store_performance[[#This Row],[AverageCustomers]],2)</f>
        <v>8.23</v>
      </c>
      <c r="E56" t="str">
        <f>_xlfn.XLOOKUP(store_performance[[#This Row],[Store]],store_clean[Store],store_clean[StoreType],"Not Found")</f>
        <v>a</v>
      </c>
    </row>
    <row r="57" spans="1:5" x14ac:dyDescent="0.2">
      <c r="A57">
        <v>56</v>
      </c>
      <c r="B57" s="1">
        <v>7321.7541613316262</v>
      </c>
      <c r="C57" s="1">
        <v>506.93854033290654</v>
      </c>
      <c r="D57">
        <f>ROUND(store_performance[[#This Row],[AverageSales]]/store_performance[[#This Row],[AverageCustomers]],2)</f>
        <v>14.44</v>
      </c>
      <c r="E57" t="str">
        <f>_xlfn.XLOOKUP(store_performance[[#This Row],[Store]],store_clean[Store],store_clean[StoreType],"Not Found")</f>
        <v>d</v>
      </c>
    </row>
    <row r="58" spans="1:5" x14ac:dyDescent="0.2">
      <c r="A58">
        <v>57</v>
      </c>
      <c r="B58" s="1">
        <v>10591.731168831169</v>
      </c>
      <c r="C58" s="1">
        <v>988.52077922077922</v>
      </c>
      <c r="D58">
        <f>ROUND(store_performance[[#This Row],[AverageSales]]/store_performance[[#This Row],[AverageCustomers]],2)</f>
        <v>10.71</v>
      </c>
      <c r="E58" t="str">
        <f>_xlfn.XLOOKUP(store_performance[[#This Row],[Store]],store_clean[Store],store_clean[StoreType],"Not Found")</f>
        <v>d</v>
      </c>
    </row>
    <row r="59" spans="1:5" x14ac:dyDescent="0.2">
      <c r="A59">
        <v>58</v>
      </c>
      <c r="B59" s="1">
        <v>6336.1589085072228</v>
      </c>
      <c r="C59" s="1">
        <v>513.14767255216691</v>
      </c>
      <c r="D59">
        <f>ROUND(store_performance[[#This Row],[AverageSales]]/store_performance[[#This Row],[AverageCustomers]],2)</f>
        <v>12.35</v>
      </c>
      <c r="E59" t="str">
        <f>_xlfn.XLOOKUP(store_performance[[#This Row],[Store]],store_clean[Store],store_clean[StoreType],"Not Found")</f>
        <v>a</v>
      </c>
    </row>
    <row r="60" spans="1:5" x14ac:dyDescent="0.2">
      <c r="A60">
        <v>59</v>
      </c>
      <c r="B60" s="1">
        <v>5501.3120204603583</v>
      </c>
      <c r="C60" s="1">
        <v>564.01534526854221</v>
      </c>
      <c r="D60">
        <f>ROUND(store_performance[[#This Row],[AverageSales]]/store_performance[[#This Row],[AverageCustomers]],2)</f>
        <v>9.75</v>
      </c>
      <c r="E60" t="str">
        <f>_xlfn.XLOOKUP(store_performance[[#This Row],[Store]],store_clean[Store],store_clean[StoreType],"Not Found")</f>
        <v>a</v>
      </c>
    </row>
    <row r="61" spans="1:5" x14ac:dyDescent="0.2">
      <c r="A61">
        <v>60</v>
      </c>
      <c r="B61" s="1">
        <v>8033.0871794871791</v>
      </c>
      <c r="C61" s="1">
        <v>713.47307692307697</v>
      </c>
      <c r="D61">
        <f>ROUND(store_performance[[#This Row],[AverageSales]]/store_performance[[#This Row],[AverageCustomers]],2)</f>
        <v>11.26</v>
      </c>
      <c r="E61" t="str">
        <f>_xlfn.XLOOKUP(store_performance[[#This Row],[Store]],store_clean[Store],store_clean[StoreType],"Not Found")</f>
        <v>d</v>
      </c>
    </row>
    <row r="62" spans="1:5" x14ac:dyDescent="0.2">
      <c r="A62">
        <v>61</v>
      </c>
      <c r="B62" s="1">
        <v>4722.0051480051479</v>
      </c>
      <c r="C62" s="1">
        <v>571.73873873873879</v>
      </c>
      <c r="D62">
        <f>ROUND(store_performance[[#This Row],[AverageSales]]/store_performance[[#This Row],[AverageCustomers]],2)</f>
        <v>8.26</v>
      </c>
      <c r="E62" t="str">
        <f>_xlfn.XLOOKUP(store_performance[[#This Row],[Store]],store_clean[Store],store_clean[StoreType],"Not Found")</f>
        <v>a</v>
      </c>
    </row>
    <row r="63" spans="1:5" x14ac:dyDescent="0.2">
      <c r="A63">
        <v>62</v>
      </c>
      <c r="B63" s="1">
        <v>6503.8664955070599</v>
      </c>
      <c r="C63" s="1">
        <v>717.98331193838249</v>
      </c>
      <c r="D63">
        <f>ROUND(store_performance[[#This Row],[AverageSales]]/store_performance[[#This Row],[AverageCustomers]],2)</f>
        <v>9.06</v>
      </c>
      <c r="E63" t="str">
        <f>_xlfn.XLOOKUP(store_performance[[#This Row],[Store]],store_clean[Store],store_clean[StoreType],"Not Found")</f>
        <v>a</v>
      </c>
    </row>
    <row r="64" spans="1:5" x14ac:dyDescent="0.2">
      <c r="A64">
        <v>63</v>
      </c>
      <c r="B64" s="1">
        <v>6956.3877551020405</v>
      </c>
      <c r="C64" s="1">
        <v>638.85204081632651</v>
      </c>
      <c r="D64">
        <f>ROUND(store_performance[[#This Row],[AverageSales]]/store_performance[[#This Row],[AverageCustomers]],2)</f>
        <v>10.89</v>
      </c>
      <c r="E64" t="str">
        <f>_xlfn.XLOOKUP(store_performance[[#This Row],[Store]],store_clean[Store],store_clean[StoreType],"Not Found")</f>
        <v>c</v>
      </c>
    </row>
    <row r="65" spans="1:5" x14ac:dyDescent="0.2">
      <c r="A65">
        <v>64</v>
      </c>
      <c r="B65" s="1">
        <v>10359.525032092426</v>
      </c>
      <c r="C65" s="1">
        <v>792.85365853658539</v>
      </c>
      <c r="D65">
        <f>ROUND(store_performance[[#This Row],[AverageSales]]/store_performance[[#This Row],[AverageCustomers]],2)</f>
        <v>13.07</v>
      </c>
      <c r="E65" t="str">
        <f>_xlfn.XLOOKUP(store_performance[[#This Row],[Store]],store_clean[Store],store_clean[StoreType],"Not Found")</f>
        <v>d</v>
      </c>
    </row>
    <row r="66" spans="1:5" x14ac:dyDescent="0.2">
      <c r="A66">
        <v>65</v>
      </c>
      <c r="B66" s="1">
        <v>5112.8948717948715</v>
      </c>
      <c r="C66" s="1">
        <v>455.9</v>
      </c>
      <c r="D66">
        <f>ROUND(store_performance[[#This Row],[AverageSales]]/store_performance[[#This Row],[AverageCustomers]],2)</f>
        <v>11.21</v>
      </c>
      <c r="E66" t="str">
        <f>_xlfn.XLOOKUP(store_performance[[#This Row],[Store]],store_clean[Store],store_clean[StoreType],"Not Found")</f>
        <v>a</v>
      </c>
    </row>
    <row r="67" spans="1:5" x14ac:dyDescent="0.2">
      <c r="A67">
        <v>66</v>
      </c>
      <c r="B67" s="1">
        <v>6114.3603603603606</v>
      </c>
      <c r="C67" s="1">
        <v>524.05662805662803</v>
      </c>
      <c r="D67">
        <f>ROUND(store_performance[[#This Row],[AverageSales]]/store_performance[[#This Row],[AverageCustomers]],2)</f>
        <v>11.67</v>
      </c>
      <c r="E67" t="str">
        <f>_xlfn.XLOOKUP(store_performance[[#This Row],[Store]],store_clean[Store],store_clean[StoreType],"Not Found")</f>
        <v>d</v>
      </c>
    </row>
    <row r="68" spans="1:5" x14ac:dyDescent="0.2">
      <c r="A68">
        <v>67</v>
      </c>
      <c r="B68" s="1">
        <v>7828.930501930502</v>
      </c>
      <c r="C68" s="1">
        <v>798.32303732303728</v>
      </c>
      <c r="D68">
        <f>ROUND(store_performance[[#This Row],[AverageSales]]/store_performance[[#This Row],[AverageCustomers]],2)</f>
        <v>9.81</v>
      </c>
      <c r="E68" t="str">
        <f>_xlfn.XLOOKUP(store_performance[[#This Row],[Store]],store_clean[Store],store_clean[StoreType],"Not Found")</f>
        <v>a</v>
      </c>
    </row>
    <row r="69" spans="1:5" x14ac:dyDescent="0.2">
      <c r="A69">
        <v>68</v>
      </c>
      <c r="B69" s="1">
        <v>7563.2525510204077</v>
      </c>
      <c r="C69" s="1">
        <v>1151.954081632653</v>
      </c>
      <c r="D69">
        <f>ROUND(store_performance[[#This Row],[AverageSales]]/store_performance[[#This Row],[AverageCustomers]],2)</f>
        <v>6.57</v>
      </c>
      <c r="E69" t="str">
        <f>_xlfn.XLOOKUP(store_performance[[#This Row],[Store]],store_clean[Store],store_clean[StoreType],"Not Found")</f>
        <v>a</v>
      </c>
    </row>
    <row r="70" spans="1:5" x14ac:dyDescent="0.2">
      <c r="A70">
        <v>69</v>
      </c>
      <c r="B70" s="1">
        <v>9426.4519846350831</v>
      </c>
      <c r="C70" s="1">
        <v>1183.6632522407169</v>
      </c>
      <c r="D70">
        <f>ROUND(store_performance[[#This Row],[AverageSales]]/store_performance[[#This Row],[AverageCustomers]],2)</f>
        <v>7.96</v>
      </c>
      <c r="E70" t="str">
        <f>_xlfn.XLOOKUP(store_performance[[#This Row],[Store]],store_clean[Store],store_clean[StoreType],"Not Found")</f>
        <v>c</v>
      </c>
    </row>
    <row r="71" spans="1:5" x14ac:dyDescent="0.2">
      <c r="A71">
        <v>70</v>
      </c>
      <c r="B71" s="1">
        <v>6608.0281329923273</v>
      </c>
      <c r="C71" s="1">
        <v>679.09718670076722</v>
      </c>
      <c r="D71">
        <f>ROUND(store_performance[[#This Row],[AverageSales]]/store_performance[[#This Row],[AverageCustomers]],2)</f>
        <v>9.73</v>
      </c>
      <c r="E71" t="str">
        <f>_xlfn.XLOOKUP(store_performance[[#This Row],[Store]],store_clean[Store],store_clean[StoreType],"Not Found")</f>
        <v>c</v>
      </c>
    </row>
    <row r="72" spans="1:5" x14ac:dyDescent="0.2">
      <c r="A72">
        <v>71</v>
      </c>
      <c r="B72" s="1">
        <v>9061.0975609756097</v>
      </c>
      <c r="C72" s="1">
        <v>746.92041078305522</v>
      </c>
      <c r="D72">
        <f>ROUND(store_performance[[#This Row],[AverageSales]]/store_performance[[#This Row],[AverageCustomers]],2)</f>
        <v>12.13</v>
      </c>
      <c r="E72" t="str">
        <f>_xlfn.XLOOKUP(store_performance[[#This Row],[Store]],store_clean[Store],store_clean[StoreType],"Not Found")</f>
        <v>a</v>
      </c>
    </row>
    <row r="73" spans="1:5" x14ac:dyDescent="0.2">
      <c r="A73">
        <v>72</v>
      </c>
      <c r="B73" s="1">
        <v>4420.0256821829853</v>
      </c>
      <c r="C73" s="1">
        <v>474.86035313001605</v>
      </c>
      <c r="D73">
        <f>ROUND(store_performance[[#This Row],[AverageSales]]/store_performance[[#This Row],[AverageCustomers]],2)</f>
        <v>9.31</v>
      </c>
      <c r="E73" t="str">
        <f>_xlfn.XLOOKUP(store_performance[[#This Row],[Store]],store_clean[Store],store_clean[StoreType],"Not Found")</f>
        <v>a</v>
      </c>
    </row>
    <row r="74" spans="1:5" x14ac:dyDescent="0.2">
      <c r="A74">
        <v>73</v>
      </c>
      <c r="B74" s="1">
        <v>4576.9783163265311</v>
      </c>
      <c r="C74" s="1">
        <v>494.13520408163265</v>
      </c>
      <c r="D74">
        <f>ROUND(store_performance[[#This Row],[AverageSales]]/store_performance[[#This Row],[AverageCustomers]],2)</f>
        <v>9.26</v>
      </c>
      <c r="E74" t="str">
        <f>_xlfn.XLOOKUP(store_performance[[#This Row],[Store]],store_clean[Store],store_clean[StoreType],"Not Found")</f>
        <v>a</v>
      </c>
    </row>
    <row r="75" spans="1:5" x14ac:dyDescent="0.2">
      <c r="A75">
        <v>74</v>
      </c>
      <c r="B75" s="1">
        <v>6256.6301546391751</v>
      </c>
      <c r="C75" s="1">
        <v>854.22293814432987</v>
      </c>
      <c r="D75">
        <f>ROUND(store_performance[[#This Row],[AverageSales]]/store_performance[[#This Row],[AverageCustomers]],2)</f>
        <v>7.32</v>
      </c>
      <c r="E75" t="str">
        <f>_xlfn.XLOOKUP(store_performance[[#This Row],[Store]],store_clean[Store],store_clean[StoreType],"Not Found")</f>
        <v>a</v>
      </c>
    </row>
    <row r="76" spans="1:5" x14ac:dyDescent="0.2">
      <c r="A76">
        <v>75</v>
      </c>
      <c r="B76" s="1">
        <v>6023.4540816326535</v>
      </c>
      <c r="C76" s="1">
        <v>642.14030612244903</v>
      </c>
      <c r="D76">
        <f>ROUND(store_performance[[#This Row],[AverageSales]]/store_performance[[#This Row],[AverageCustomers]],2)</f>
        <v>9.3800000000000008</v>
      </c>
      <c r="E76" t="str">
        <f>_xlfn.XLOOKUP(store_performance[[#This Row],[Store]],store_clean[Store],store_clean[StoreType],"Not Found")</f>
        <v>d</v>
      </c>
    </row>
    <row r="77" spans="1:5" x14ac:dyDescent="0.2">
      <c r="A77">
        <v>76</v>
      </c>
      <c r="B77" s="1">
        <v>8999.5473515248796</v>
      </c>
      <c r="C77" s="1">
        <v>928.09630818619587</v>
      </c>
      <c r="D77">
        <f>ROUND(store_performance[[#This Row],[AverageSales]]/store_performance[[#This Row],[AverageCustomers]],2)</f>
        <v>9.6999999999999993</v>
      </c>
      <c r="E77" t="str">
        <f>_xlfn.XLOOKUP(store_performance[[#This Row],[Store]],store_clean[Store],store_clean[StoreType],"Not Found")</f>
        <v>d</v>
      </c>
    </row>
    <row r="78" spans="1:5" x14ac:dyDescent="0.2">
      <c r="A78">
        <v>77</v>
      </c>
      <c r="B78" s="1">
        <v>7621.4891165172858</v>
      </c>
      <c r="C78" s="1">
        <v>662.83354673495523</v>
      </c>
      <c r="D78">
        <f>ROUND(store_performance[[#This Row],[AverageSales]]/store_performance[[#This Row],[AverageCustomers]],2)</f>
        <v>11.5</v>
      </c>
      <c r="E78" t="str">
        <f>_xlfn.XLOOKUP(store_performance[[#This Row],[Store]],store_clean[Store],store_clean[StoreType],"Not Found")</f>
        <v>d</v>
      </c>
    </row>
    <row r="79" spans="1:5" x14ac:dyDescent="0.2">
      <c r="A79">
        <v>78</v>
      </c>
      <c r="B79" s="1">
        <v>3717.4730769230769</v>
      </c>
      <c r="C79" s="1">
        <v>494.85897435897436</v>
      </c>
      <c r="D79">
        <f>ROUND(store_performance[[#This Row],[AverageSales]]/store_performance[[#This Row],[AverageCustomers]],2)</f>
        <v>7.51</v>
      </c>
      <c r="E79" t="str">
        <f>_xlfn.XLOOKUP(store_performance[[#This Row],[Store]],store_clean[Store],store_clean[StoreType],"Not Found")</f>
        <v>a</v>
      </c>
    </row>
    <row r="80" spans="1:5" x14ac:dyDescent="0.2">
      <c r="A80">
        <v>79</v>
      </c>
      <c r="B80" s="1">
        <v>5474.2406692406694</v>
      </c>
      <c r="C80" s="1">
        <v>560.48777348777344</v>
      </c>
      <c r="D80">
        <f>ROUND(store_performance[[#This Row],[AverageSales]]/store_performance[[#This Row],[AverageCustomers]],2)</f>
        <v>9.77</v>
      </c>
      <c r="E80" t="str">
        <f>_xlfn.XLOOKUP(store_performance[[#This Row],[Store]],store_clean[Store],store_clean[StoreType],"Not Found")</f>
        <v>a</v>
      </c>
    </row>
    <row r="81" spans="1:5" x14ac:dyDescent="0.2">
      <c r="A81">
        <v>80</v>
      </c>
      <c r="B81" s="1">
        <v>7616.2734274711165</v>
      </c>
      <c r="C81" s="1">
        <v>577.74582798459562</v>
      </c>
      <c r="D81">
        <f>ROUND(store_performance[[#This Row],[AverageSales]]/store_performance[[#This Row],[AverageCustomers]],2)</f>
        <v>13.18</v>
      </c>
      <c r="E81" t="str">
        <f>_xlfn.XLOOKUP(store_performance[[#This Row],[Store]],store_clean[Store],store_clean[StoreType],"Not Found")</f>
        <v>d</v>
      </c>
    </row>
    <row r="82" spans="1:5" x14ac:dyDescent="0.2">
      <c r="A82">
        <v>81</v>
      </c>
      <c r="B82" s="1">
        <v>6985.6881028938906</v>
      </c>
      <c r="C82" s="1">
        <v>561.49839228295821</v>
      </c>
      <c r="D82">
        <f>ROUND(store_performance[[#This Row],[AverageSales]]/store_performance[[#This Row],[AverageCustomers]],2)</f>
        <v>12.44</v>
      </c>
      <c r="E82" t="str">
        <f>_xlfn.XLOOKUP(store_performance[[#This Row],[Store]],store_clean[Store],store_clean[StoreType],"Not Found")</f>
        <v>a</v>
      </c>
    </row>
    <row r="83" spans="1:5" x14ac:dyDescent="0.2">
      <c r="A83">
        <v>82</v>
      </c>
      <c r="B83" s="1">
        <v>9019.6534017971753</v>
      </c>
      <c r="C83" s="1">
        <v>838.55969191270856</v>
      </c>
      <c r="D83">
        <f>ROUND(store_performance[[#This Row],[AverageSales]]/store_performance[[#This Row],[AverageCustomers]],2)</f>
        <v>10.76</v>
      </c>
      <c r="E83" t="str">
        <f>_xlfn.XLOOKUP(store_performance[[#This Row],[Store]],store_clean[Store],store_clean[StoreType],"Not Found")</f>
        <v>a</v>
      </c>
    </row>
    <row r="84" spans="1:5" x14ac:dyDescent="0.2">
      <c r="A84">
        <v>83</v>
      </c>
      <c r="B84" s="1">
        <v>3887.7060333761233</v>
      </c>
      <c r="C84" s="1">
        <v>345.83953786906289</v>
      </c>
      <c r="D84">
        <f>ROUND(store_performance[[#This Row],[AverageSales]]/store_performance[[#This Row],[AverageCustomers]],2)</f>
        <v>11.24</v>
      </c>
      <c r="E84" t="str">
        <f>_xlfn.XLOOKUP(store_performance[[#This Row],[Store]],store_clean[Store],store_clean[StoreType],"Not Found")</f>
        <v>a</v>
      </c>
    </row>
    <row r="85" spans="1:5" x14ac:dyDescent="0.2">
      <c r="A85">
        <v>84</v>
      </c>
      <c r="B85" s="1">
        <v>12955.997432605905</v>
      </c>
      <c r="C85" s="1">
        <v>1392.3106546854942</v>
      </c>
      <c r="D85">
        <f>ROUND(store_performance[[#This Row],[AverageSales]]/store_performance[[#This Row],[AverageCustomers]],2)</f>
        <v>9.31</v>
      </c>
      <c r="E85" t="str">
        <f>_xlfn.XLOOKUP(store_performance[[#This Row],[Store]],store_clean[Store],store_clean[StoreType],"Not Found")</f>
        <v>a</v>
      </c>
    </row>
    <row r="86" spans="1:5" x14ac:dyDescent="0.2">
      <c r="A86">
        <v>85</v>
      </c>
      <c r="B86" s="1">
        <v>7272.454352441614</v>
      </c>
      <c r="C86" s="1">
        <v>1015.4012738853503</v>
      </c>
      <c r="D86">
        <f>ROUND(store_performance[[#This Row],[AverageSales]]/store_performance[[#This Row],[AverageCustomers]],2)</f>
        <v>7.16</v>
      </c>
      <c r="E86" t="str">
        <f>_xlfn.XLOOKUP(store_performance[[#This Row],[Store]],store_clean[Store],store_clean[StoreType],"Not Found")</f>
        <v>b</v>
      </c>
    </row>
    <row r="87" spans="1:5" x14ac:dyDescent="0.2">
      <c r="A87">
        <v>86</v>
      </c>
      <c r="B87" s="1">
        <v>4695.0218508997432</v>
      </c>
      <c r="C87" s="1">
        <v>604.96015424164523</v>
      </c>
      <c r="D87">
        <f>ROUND(store_performance[[#This Row],[AverageSales]]/store_performance[[#This Row],[AverageCustomers]],2)</f>
        <v>7.76</v>
      </c>
      <c r="E87" t="str">
        <f>_xlfn.XLOOKUP(store_performance[[#This Row],[Store]],store_clean[Store],store_clean[StoreType],"Not Found")</f>
        <v>a</v>
      </c>
    </row>
    <row r="88" spans="1:5" x14ac:dyDescent="0.2">
      <c r="A88">
        <v>87</v>
      </c>
      <c r="B88" s="1">
        <v>5865.1619897959181</v>
      </c>
      <c r="C88" s="1">
        <v>737.44770408163265</v>
      </c>
      <c r="D88">
        <f>ROUND(store_performance[[#This Row],[AverageSales]]/store_performance[[#This Row],[AverageCustomers]],2)</f>
        <v>7.95</v>
      </c>
      <c r="E88" t="str">
        <f>_xlfn.XLOOKUP(store_performance[[#This Row],[Store]],store_clean[Store],store_clean[StoreType],"Not Found")</f>
        <v>a</v>
      </c>
    </row>
    <row r="89" spans="1:5" x14ac:dyDescent="0.2">
      <c r="A89">
        <v>88</v>
      </c>
      <c r="B89" s="1">
        <v>6024.4333333333334</v>
      </c>
      <c r="C89" s="1">
        <v>613.49102564102566</v>
      </c>
      <c r="D89">
        <f>ROUND(store_performance[[#This Row],[AverageSales]]/store_performance[[#This Row],[AverageCustomers]],2)</f>
        <v>9.82</v>
      </c>
      <c r="E89" t="str">
        <f>_xlfn.XLOOKUP(store_performance[[#This Row],[Store]],store_clean[Store],store_clean[StoreType],"Not Found")</f>
        <v>a</v>
      </c>
    </row>
    <row r="90" spans="1:5" x14ac:dyDescent="0.2">
      <c r="A90">
        <v>89</v>
      </c>
      <c r="B90" s="1">
        <v>5971.3392282958202</v>
      </c>
      <c r="C90" s="1">
        <v>624.17524115755623</v>
      </c>
      <c r="D90">
        <f>ROUND(store_performance[[#This Row],[AverageSales]]/store_performance[[#This Row],[AverageCustomers]],2)</f>
        <v>9.57</v>
      </c>
      <c r="E90" t="str">
        <f>_xlfn.XLOOKUP(store_performance[[#This Row],[Store]],store_clean[Store],store_clean[StoreType],"Not Found")</f>
        <v>a</v>
      </c>
    </row>
    <row r="91" spans="1:5" x14ac:dyDescent="0.2">
      <c r="A91">
        <v>90</v>
      </c>
      <c r="B91" s="1">
        <v>8416.7686375321337</v>
      </c>
      <c r="C91" s="1">
        <v>1057.0604113110539</v>
      </c>
      <c r="D91">
        <f>ROUND(store_performance[[#This Row],[AverageSales]]/store_performance[[#This Row],[AverageCustomers]],2)</f>
        <v>7.96</v>
      </c>
      <c r="E91" t="str">
        <f>_xlfn.XLOOKUP(store_performance[[#This Row],[Store]],store_clean[Store],store_clean[StoreType],"Not Found")</f>
        <v>a</v>
      </c>
    </row>
    <row r="92" spans="1:5" x14ac:dyDescent="0.2">
      <c r="A92">
        <v>91</v>
      </c>
      <c r="B92" s="1">
        <v>5559.0025706940878</v>
      </c>
      <c r="C92" s="1">
        <v>613.9305912596401</v>
      </c>
      <c r="D92">
        <f>ROUND(store_performance[[#This Row],[AverageSales]]/store_performance[[#This Row],[AverageCustomers]],2)</f>
        <v>9.0500000000000007</v>
      </c>
      <c r="E92" t="str">
        <f>_xlfn.XLOOKUP(store_performance[[#This Row],[Store]],store_clean[Store],store_clean[StoreType],"Not Found")</f>
        <v>c</v>
      </c>
    </row>
    <row r="93" spans="1:5" x14ac:dyDescent="0.2">
      <c r="A93">
        <v>92</v>
      </c>
      <c r="B93" s="1">
        <v>5996.6842105263158</v>
      </c>
      <c r="C93" s="1">
        <v>547.05776636713733</v>
      </c>
      <c r="D93">
        <f>ROUND(store_performance[[#This Row],[AverageSales]]/store_performance[[#This Row],[AverageCustomers]],2)</f>
        <v>10.96</v>
      </c>
      <c r="E93" t="str">
        <f>_xlfn.XLOOKUP(store_performance[[#This Row],[Store]],store_clean[Store],store_clean[StoreType],"Not Found")</f>
        <v>c</v>
      </c>
    </row>
    <row r="94" spans="1:5" x14ac:dyDescent="0.2">
      <c r="A94">
        <v>93</v>
      </c>
      <c r="B94" s="1">
        <v>5965.1758664955069</v>
      </c>
      <c r="C94" s="1">
        <v>603.55455712451862</v>
      </c>
      <c r="D94">
        <f>ROUND(store_performance[[#This Row],[AverageSales]]/store_performance[[#This Row],[AverageCustomers]],2)</f>
        <v>9.8800000000000008</v>
      </c>
      <c r="E94" t="str">
        <f>_xlfn.XLOOKUP(store_performance[[#This Row],[Store]],store_clean[Store],store_clean[StoreType],"Not Found")</f>
        <v>a</v>
      </c>
    </row>
    <row r="95" spans="1:5" x14ac:dyDescent="0.2">
      <c r="A95">
        <v>94</v>
      </c>
      <c r="B95" s="1">
        <v>7121.14377406932</v>
      </c>
      <c r="C95" s="1">
        <v>640.14377406931965</v>
      </c>
      <c r="D95">
        <f>ROUND(store_performance[[#This Row],[AverageSales]]/store_performance[[#This Row],[AverageCustomers]],2)</f>
        <v>11.12</v>
      </c>
      <c r="E95" t="str">
        <f>_xlfn.XLOOKUP(store_performance[[#This Row],[Store]],store_clean[Store],store_clean[StoreType],"Not Found")</f>
        <v>d</v>
      </c>
    </row>
    <row r="96" spans="1:5" x14ac:dyDescent="0.2">
      <c r="A96">
        <v>95</v>
      </c>
      <c r="B96" s="1">
        <v>7638.54358974359</v>
      </c>
      <c r="C96" s="1">
        <v>843.71923076923076</v>
      </c>
      <c r="D96">
        <f>ROUND(store_performance[[#This Row],[AverageSales]]/store_performance[[#This Row],[AverageCustomers]],2)</f>
        <v>9.0500000000000007</v>
      </c>
      <c r="E96" t="str">
        <f>_xlfn.XLOOKUP(store_performance[[#This Row],[Store]],store_clean[Store],store_clean[StoreType],"Not Found")</f>
        <v>a</v>
      </c>
    </row>
    <row r="97" spans="1:5" x14ac:dyDescent="0.2">
      <c r="A97">
        <v>96</v>
      </c>
      <c r="B97" s="1">
        <v>5176.8884615384613</v>
      </c>
      <c r="C97" s="1">
        <v>542.77435897435896</v>
      </c>
      <c r="D97">
        <f>ROUND(store_performance[[#This Row],[AverageSales]]/store_performance[[#This Row],[AverageCustomers]],2)</f>
        <v>9.5399999999999991</v>
      </c>
      <c r="E97" t="str">
        <f>_xlfn.XLOOKUP(store_performance[[#This Row],[Store]],store_clean[Store],store_clean[StoreType],"Not Found")</f>
        <v>a</v>
      </c>
    </row>
    <row r="98" spans="1:5" x14ac:dyDescent="0.2">
      <c r="A98">
        <v>97</v>
      </c>
      <c r="B98" s="1">
        <v>6703.3961538461535</v>
      </c>
      <c r="C98" s="1">
        <v>688.83076923076919</v>
      </c>
      <c r="D98">
        <f>ROUND(store_performance[[#This Row],[AverageSales]]/store_performance[[#This Row],[AverageCustomers]],2)</f>
        <v>9.73</v>
      </c>
      <c r="E98" t="str">
        <f>_xlfn.XLOOKUP(store_performance[[#This Row],[Store]],store_clean[Store],store_clean[StoreType],"Not Found")</f>
        <v>d</v>
      </c>
    </row>
    <row r="99" spans="1:5" x14ac:dyDescent="0.2">
      <c r="A99">
        <v>98</v>
      </c>
      <c r="B99" s="1">
        <v>5109.8639281129654</v>
      </c>
      <c r="C99" s="1">
        <v>451.58536585365852</v>
      </c>
      <c r="D99">
        <f>ROUND(store_performance[[#This Row],[AverageSales]]/store_performance[[#This Row],[AverageCustomers]],2)</f>
        <v>11.32</v>
      </c>
      <c r="E99" t="str">
        <f>_xlfn.XLOOKUP(store_performance[[#This Row],[Store]],store_clean[Store],store_clean[StoreType],"Not Found")</f>
        <v>d</v>
      </c>
    </row>
    <row r="100" spans="1:5" x14ac:dyDescent="0.2">
      <c r="A100">
        <v>99</v>
      </c>
      <c r="B100" s="1">
        <v>5130.5209003215432</v>
      </c>
      <c r="C100" s="1">
        <v>465.52090032154342</v>
      </c>
      <c r="D100">
        <f>ROUND(store_performance[[#This Row],[AverageSales]]/store_performance[[#This Row],[AverageCustomers]],2)</f>
        <v>11.02</v>
      </c>
      <c r="E100" t="str">
        <f>_xlfn.XLOOKUP(store_performance[[#This Row],[Store]],store_clean[Store],store_clean[StoreType],"Not Found")</f>
        <v>c</v>
      </c>
    </row>
    <row r="101" spans="1:5" x14ac:dyDescent="0.2">
      <c r="A101">
        <v>100</v>
      </c>
      <c r="B101" s="1">
        <v>7964.4125412541252</v>
      </c>
      <c r="C101" s="1">
        <v>686.21947194719473</v>
      </c>
      <c r="D101">
        <f>ROUND(store_performance[[#This Row],[AverageSales]]/store_performance[[#This Row],[AverageCustomers]],2)</f>
        <v>11.61</v>
      </c>
      <c r="E101" t="str">
        <f>_xlfn.XLOOKUP(store_performance[[#This Row],[Store]],store_clean[Store],store_clean[StoreType],"Not Found")</f>
        <v>d</v>
      </c>
    </row>
    <row r="102" spans="1:5" x14ac:dyDescent="0.2">
      <c r="A102">
        <v>101</v>
      </c>
      <c r="B102" s="1">
        <v>7469.8775510204077</v>
      </c>
      <c r="C102" s="1">
        <v>777.15561224489795</v>
      </c>
      <c r="D102">
        <f>ROUND(store_performance[[#This Row],[AverageSales]]/store_performance[[#This Row],[AverageCustomers]],2)</f>
        <v>9.61</v>
      </c>
      <c r="E102" t="str">
        <f>_xlfn.XLOOKUP(store_performance[[#This Row],[Store]],store_clean[Store],store_clean[StoreType],"Not Found")</f>
        <v>d</v>
      </c>
    </row>
    <row r="103" spans="1:5" x14ac:dyDescent="0.2">
      <c r="A103">
        <v>102</v>
      </c>
      <c r="B103" s="1">
        <v>7061.1621271076529</v>
      </c>
      <c r="C103" s="1">
        <v>1048.9857328145265</v>
      </c>
      <c r="D103">
        <f>ROUND(store_performance[[#This Row],[AverageSales]]/store_performance[[#This Row],[AverageCustomers]],2)</f>
        <v>6.73</v>
      </c>
      <c r="E103" t="str">
        <f>_xlfn.XLOOKUP(store_performance[[#This Row],[Store]],store_clean[Store],store_clean[StoreType],"Not Found")</f>
        <v>a</v>
      </c>
    </row>
    <row r="104" spans="1:5" x14ac:dyDescent="0.2">
      <c r="A104">
        <v>103</v>
      </c>
      <c r="B104" s="1">
        <v>4689.4976228209189</v>
      </c>
      <c r="C104" s="1">
        <v>421.61648177496039</v>
      </c>
      <c r="D104">
        <f>ROUND(store_performance[[#This Row],[AverageSales]]/store_performance[[#This Row],[AverageCustomers]],2)</f>
        <v>11.12</v>
      </c>
      <c r="E104" t="str">
        <f>_xlfn.XLOOKUP(store_performance[[#This Row],[Store]],store_clean[Store],store_clean[StoreType],"Not Found")</f>
        <v>d</v>
      </c>
    </row>
    <row r="105" spans="1:5" x14ac:dyDescent="0.2">
      <c r="A105">
        <v>104</v>
      </c>
      <c r="B105" s="1">
        <v>10126.536989795919</v>
      </c>
      <c r="C105" s="1">
        <v>1312.3775510204082</v>
      </c>
      <c r="D105">
        <f>ROUND(store_performance[[#This Row],[AverageSales]]/store_performance[[#This Row],[AverageCustomers]],2)</f>
        <v>7.72</v>
      </c>
      <c r="E105" t="str">
        <f>_xlfn.XLOOKUP(store_performance[[#This Row],[Store]],store_clean[Store],store_clean[StoreType],"Not Found")</f>
        <v>a</v>
      </c>
    </row>
    <row r="106" spans="1:5" x14ac:dyDescent="0.2">
      <c r="A106">
        <v>105</v>
      </c>
      <c r="B106" s="1">
        <v>4441.3673740053055</v>
      </c>
      <c r="C106" s="1">
        <v>515.04907161803715</v>
      </c>
      <c r="D106">
        <f>ROUND(store_performance[[#This Row],[AverageSales]]/store_performance[[#This Row],[AverageCustomers]],2)</f>
        <v>8.6199999999999992</v>
      </c>
      <c r="E106" t="str">
        <f>_xlfn.XLOOKUP(store_performance[[#This Row],[Store]],store_clean[Store],store_clean[StoreType],"Not Found")</f>
        <v>a</v>
      </c>
    </row>
    <row r="107" spans="1:5" x14ac:dyDescent="0.2">
      <c r="A107">
        <v>106</v>
      </c>
      <c r="B107" s="1">
        <v>8668.8193548387098</v>
      </c>
      <c r="C107" s="1">
        <v>825.64774193548385</v>
      </c>
      <c r="D107">
        <f>ROUND(store_performance[[#This Row],[AverageSales]]/store_performance[[#This Row],[AverageCustomers]],2)</f>
        <v>10.5</v>
      </c>
      <c r="E107" t="str">
        <f>_xlfn.XLOOKUP(store_performance[[#This Row],[Store]],store_clean[Store],store_clean[StoreType],"Not Found")</f>
        <v>a</v>
      </c>
    </row>
    <row r="108" spans="1:5" x14ac:dyDescent="0.2">
      <c r="A108">
        <v>107</v>
      </c>
      <c r="B108" s="1">
        <v>7336.5892857142853</v>
      </c>
      <c r="C108" s="1">
        <v>955.3112244897959</v>
      </c>
      <c r="D108">
        <f>ROUND(store_performance[[#This Row],[AverageSales]]/store_performance[[#This Row],[AverageCustomers]],2)</f>
        <v>7.68</v>
      </c>
      <c r="E108" t="str">
        <f>_xlfn.XLOOKUP(store_performance[[#This Row],[Store]],store_clean[Store],store_clean[StoreType],"Not Found")</f>
        <v>a</v>
      </c>
    </row>
    <row r="109" spans="1:5" x14ac:dyDescent="0.2">
      <c r="A109">
        <v>108</v>
      </c>
      <c r="B109" s="1">
        <v>11035.360128617363</v>
      </c>
      <c r="C109" s="1">
        <v>848.78135048231513</v>
      </c>
      <c r="D109">
        <f>ROUND(store_performance[[#This Row],[AverageSales]]/store_performance[[#This Row],[AverageCustomers]],2)</f>
        <v>13</v>
      </c>
      <c r="E109" t="str">
        <f>_xlfn.XLOOKUP(store_performance[[#This Row],[Store]],store_clean[Store],store_clean[StoreType],"Not Found")</f>
        <v>d</v>
      </c>
    </row>
    <row r="110" spans="1:5" x14ac:dyDescent="0.2">
      <c r="A110">
        <v>109</v>
      </c>
      <c r="B110" s="1">
        <v>6464.3239795918371</v>
      </c>
      <c r="C110" s="1">
        <v>742.3762755102041</v>
      </c>
      <c r="D110">
        <f>ROUND(store_performance[[#This Row],[AverageSales]]/store_performance[[#This Row],[AverageCustomers]],2)</f>
        <v>8.7100000000000009</v>
      </c>
      <c r="E110" t="str">
        <f>_xlfn.XLOOKUP(store_performance[[#This Row],[Store]],store_clean[Store],store_clean[StoreType],"Not Found")</f>
        <v>a</v>
      </c>
    </row>
    <row r="111" spans="1:5" x14ac:dyDescent="0.2">
      <c r="A111">
        <v>110</v>
      </c>
      <c r="B111" s="1">
        <v>4534.4298469387759</v>
      </c>
      <c r="C111" s="1">
        <v>587.4387755102041</v>
      </c>
      <c r="D111">
        <f>ROUND(store_performance[[#This Row],[AverageSales]]/store_performance[[#This Row],[AverageCustomers]],2)</f>
        <v>7.72</v>
      </c>
      <c r="E111" t="str">
        <f>_xlfn.XLOOKUP(store_performance[[#This Row],[Store]],store_clean[Store],store_clean[StoreType],"Not Found")</f>
        <v>a</v>
      </c>
    </row>
    <row r="112" spans="1:5" x14ac:dyDescent="0.2">
      <c r="A112">
        <v>111</v>
      </c>
      <c r="B112" s="1">
        <v>6771.7451984635081</v>
      </c>
      <c r="C112" s="1">
        <v>597.67477592829709</v>
      </c>
      <c r="D112">
        <f>ROUND(store_performance[[#This Row],[AverageSales]]/store_performance[[#This Row],[AverageCustomers]],2)</f>
        <v>11.33</v>
      </c>
      <c r="E112" t="str">
        <f>_xlfn.XLOOKUP(store_performance[[#This Row],[Store]],store_clean[Store],store_clean[StoreType],"Not Found")</f>
        <v>d</v>
      </c>
    </row>
    <row r="113" spans="1:5" x14ac:dyDescent="0.2">
      <c r="A113">
        <v>112</v>
      </c>
      <c r="B113" s="1">
        <v>6229.4489795918371</v>
      </c>
      <c r="C113" s="1">
        <v>775.99362244897964</v>
      </c>
      <c r="D113">
        <f>ROUND(store_performance[[#This Row],[AverageSales]]/store_performance[[#This Row],[AverageCustomers]],2)</f>
        <v>8.0299999999999994</v>
      </c>
      <c r="E113" t="str">
        <f>_xlfn.XLOOKUP(store_performance[[#This Row],[Store]],store_clean[Store],store_clean[StoreType],"Not Found")</f>
        <v>a</v>
      </c>
    </row>
    <row r="114" spans="1:5" x14ac:dyDescent="0.2">
      <c r="A114">
        <v>113</v>
      </c>
      <c r="B114" s="1">
        <v>7199.0771704180061</v>
      </c>
      <c r="C114" s="1">
        <v>699.31350482315111</v>
      </c>
      <c r="D114">
        <f>ROUND(store_performance[[#This Row],[AverageSales]]/store_performance[[#This Row],[AverageCustomers]],2)</f>
        <v>10.29</v>
      </c>
      <c r="E114" t="str">
        <f>_xlfn.XLOOKUP(store_performance[[#This Row],[Store]],store_clean[Store],store_clean[StoreType],"Not Found")</f>
        <v>d</v>
      </c>
    </row>
    <row r="115" spans="1:5" x14ac:dyDescent="0.2">
      <c r="A115">
        <v>114</v>
      </c>
      <c r="B115" s="1">
        <v>5346.5599489795923</v>
      </c>
      <c r="C115" s="1">
        <v>608.125</v>
      </c>
      <c r="D115">
        <f>ROUND(store_performance[[#This Row],[AverageSales]]/store_performance[[#This Row],[AverageCustomers]],2)</f>
        <v>8.7899999999999991</v>
      </c>
      <c r="E115" t="str">
        <f>_xlfn.XLOOKUP(store_performance[[#This Row],[Store]],store_clean[Store],store_clean[StoreType],"Not Found")</f>
        <v>c</v>
      </c>
    </row>
    <row r="116" spans="1:5" x14ac:dyDescent="0.2">
      <c r="A116">
        <v>115</v>
      </c>
      <c r="B116" s="1">
        <v>7371.6897106109327</v>
      </c>
      <c r="C116" s="1">
        <v>552.04501607717043</v>
      </c>
      <c r="D116">
        <f>ROUND(store_performance[[#This Row],[AverageSales]]/store_performance[[#This Row],[AverageCustomers]],2)</f>
        <v>13.35</v>
      </c>
      <c r="E116" t="str">
        <f>_xlfn.XLOOKUP(store_performance[[#This Row],[Store]],store_clean[Store],store_clean[StoreType],"Not Found")</f>
        <v>d</v>
      </c>
    </row>
    <row r="117" spans="1:5" x14ac:dyDescent="0.2">
      <c r="A117">
        <v>116</v>
      </c>
      <c r="B117" s="1">
        <v>7294.5453384418897</v>
      </c>
      <c r="C117" s="1">
        <v>758.24776500638575</v>
      </c>
      <c r="D117">
        <f>ROUND(store_performance[[#This Row],[AverageSales]]/store_performance[[#This Row],[AverageCustomers]],2)</f>
        <v>9.6199999999999992</v>
      </c>
      <c r="E117" t="str">
        <f>_xlfn.XLOOKUP(store_performance[[#This Row],[Store]],store_clean[Store],store_clean[StoreType],"Not Found")</f>
        <v>a</v>
      </c>
    </row>
    <row r="118" spans="1:5" x14ac:dyDescent="0.2">
      <c r="A118">
        <v>117</v>
      </c>
      <c r="B118" s="1">
        <v>3881.9563543003851</v>
      </c>
      <c r="C118" s="1">
        <v>492.06546854942235</v>
      </c>
      <c r="D118">
        <f>ROUND(store_performance[[#This Row],[AverageSales]]/store_performance[[#This Row],[AverageCustomers]],2)</f>
        <v>7.89</v>
      </c>
      <c r="E118" t="str">
        <f>_xlfn.XLOOKUP(store_performance[[#This Row],[Store]],store_clean[Store],store_clean[StoreType],"Not Found")</f>
        <v>a</v>
      </c>
    </row>
    <row r="119" spans="1:5" x14ac:dyDescent="0.2">
      <c r="A119">
        <v>118</v>
      </c>
      <c r="B119" s="1">
        <v>7781.6061381074169</v>
      </c>
      <c r="C119" s="1">
        <v>675.54603580562662</v>
      </c>
      <c r="D119">
        <f>ROUND(store_performance[[#This Row],[AverageSales]]/store_performance[[#This Row],[AverageCustomers]],2)</f>
        <v>11.52</v>
      </c>
      <c r="E119" t="str">
        <f>_xlfn.XLOOKUP(store_performance[[#This Row],[Store]],store_clean[Store],store_clean[StoreType],"Not Found")</f>
        <v>d</v>
      </c>
    </row>
    <row r="120" spans="1:5" x14ac:dyDescent="0.2">
      <c r="A120">
        <v>119</v>
      </c>
      <c r="B120" s="1">
        <v>6005.0854591836733</v>
      </c>
      <c r="C120" s="1">
        <v>664.96428571428567</v>
      </c>
      <c r="D120">
        <f>ROUND(store_performance[[#This Row],[AverageSales]]/store_performance[[#This Row],[AverageCustomers]],2)</f>
        <v>9.0299999999999994</v>
      </c>
      <c r="E120" t="str">
        <f>_xlfn.XLOOKUP(store_performance[[#This Row],[Store]],store_clean[Store],store_clean[StoreType],"Not Found")</f>
        <v>a</v>
      </c>
    </row>
    <row r="121" spans="1:5" x14ac:dyDescent="0.2">
      <c r="A121">
        <v>120</v>
      </c>
      <c r="B121" s="1">
        <v>7110.1024327784889</v>
      </c>
      <c r="C121" s="1">
        <v>638.19590268886043</v>
      </c>
      <c r="D121">
        <f>ROUND(store_performance[[#This Row],[AverageSales]]/store_performance[[#This Row],[AverageCustomers]],2)</f>
        <v>11.14</v>
      </c>
      <c r="E121" t="str">
        <f>_xlfn.XLOOKUP(store_performance[[#This Row],[Store]],store_clean[Store],store_clean[StoreType],"Not Found")</f>
        <v>d</v>
      </c>
    </row>
    <row r="122" spans="1:5" x14ac:dyDescent="0.2">
      <c r="A122">
        <v>121</v>
      </c>
      <c r="B122" s="1">
        <v>4453.1717948717951</v>
      </c>
      <c r="C122" s="1">
        <v>504.11282051282052</v>
      </c>
      <c r="D122">
        <f>ROUND(store_performance[[#This Row],[AverageSales]]/store_performance[[#This Row],[AverageCustomers]],2)</f>
        <v>8.83</v>
      </c>
      <c r="E122" t="str">
        <f>_xlfn.XLOOKUP(store_performance[[#This Row],[Store]],store_clean[Store],store_clean[StoreType],"Not Found")</f>
        <v>a</v>
      </c>
    </row>
    <row r="123" spans="1:5" x14ac:dyDescent="0.2">
      <c r="A123">
        <v>122</v>
      </c>
      <c r="B123" s="1">
        <v>6462.0146892655366</v>
      </c>
      <c r="C123" s="1">
        <v>793.78079096045201</v>
      </c>
      <c r="D123">
        <f>ROUND(store_performance[[#This Row],[AverageSales]]/store_performance[[#This Row],[AverageCustomers]],2)</f>
        <v>8.14</v>
      </c>
      <c r="E123" t="str">
        <f>_xlfn.XLOOKUP(store_performance[[#This Row],[Store]],store_clean[Store],store_clean[StoreType],"Not Found")</f>
        <v>a</v>
      </c>
    </row>
    <row r="124" spans="1:5" x14ac:dyDescent="0.2">
      <c r="A124">
        <v>123</v>
      </c>
      <c r="B124" s="1">
        <v>8399.2044270833339</v>
      </c>
      <c r="C124" s="1">
        <v>959.77734375</v>
      </c>
      <c r="D124">
        <f>ROUND(store_performance[[#This Row],[AverageSales]]/store_performance[[#This Row],[AverageCustomers]],2)</f>
        <v>8.75</v>
      </c>
      <c r="E124" t="str">
        <f>_xlfn.XLOOKUP(store_performance[[#This Row],[Store]],store_clean[Store],store_clean[StoreType],"Not Found")</f>
        <v>a</v>
      </c>
    </row>
    <row r="125" spans="1:5" x14ac:dyDescent="0.2">
      <c r="A125">
        <v>124</v>
      </c>
      <c r="B125" s="1">
        <v>4424.1463414634145</v>
      </c>
      <c r="C125" s="1">
        <v>525.68292682926824</v>
      </c>
      <c r="D125">
        <f>ROUND(store_performance[[#This Row],[AverageSales]]/store_performance[[#This Row],[AverageCustomers]],2)</f>
        <v>8.42</v>
      </c>
      <c r="E125" t="str">
        <f>_xlfn.XLOOKUP(store_performance[[#This Row],[Store]],store_clean[Store],store_clean[StoreType],"Not Found")</f>
        <v>a</v>
      </c>
    </row>
    <row r="126" spans="1:5" x14ac:dyDescent="0.2">
      <c r="A126">
        <v>125</v>
      </c>
      <c r="B126" s="1">
        <v>11836.848214285714</v>
      </c>
      <c r="C126" s="1">
        <v>1573.9413265306123</v>
      </c>
      <c r="D126">
        <f>ROUND(store_performance[[#This Row],[AverageSales]]/store_performance[[#This Row],[AverageCustomers]],2)</f>
        <v>7.52</v>
      </c>
      <c r="E126" t="str">
        <f>_xlfn.XLOOKUP(store_performance[[#This Row],[Store]],store_clean[Store],store_clean[StoreType],"Not Found")</f>
        <v>a</v>
      </c>
    </row>
    <row r="127" spans="1:5" x14ac:dyDescent="0.2">
      <c r="A127">
        <v>126</v>
      </c>
      <c r="B127" s="1">
        <v>6507.7535301668804</v>
      </c>
      <c r="C127" s="1">
        <v>543.81258023106545</v>
      </c>
      <c r="D127">
        <f>ROUND(store_performance[[#This Row],[AverageSales]]/store_performance[[#This Row],[AverageCustomers]],2)</f>
        <v>11.97</v>
      </c>
      <c r="E127" t="str">
        <f>_xlfn.XLOOKUP(store_performance[[#This Row],[Store]],store_clean[Store],store_clean[StoreType],"Not Found")</f>
        <v>d</v>
      </c>
    </row>
    <row r="128" spans="1:5" x14ac:dyDescent="0.2">
      <c r="A128">
        <v>127</v>
      </c>
      <c r="B128" s="1">
        <v>5238.1540930979136</v>
      </c>
      <c r="C128" s="1">
        <v>659.74799357945426</v>
      </c>
      <c r="D128">
        <f>ROUND(store_performance[[#This Row],[AverageSales]]/store_performance[[#This Row],[AverageCustomers]],2)</f>
        <v>7.94</v>
      </c>
      <c r="E128" t="str">
        <f>_xlfn.XLOOKUP(store_performance[[#This Row],[Store]],store_clean[Store],store_clean[StoreType],"Not Found")</f>
        <v>d</v>
      </c>
    </row>
    <row r="129" spans="1:5" x14ac:dyDescent="0.2">
      <c r="A129">
        <v>128</v>
      </c>
      <c r="B129" s="1">
        <v>7454.6722151088352</v>
      </c>
      <c r="C129" s="1">
        <v>594.68245838668372</v>
      </c>
      <c r="D129">
        <f>ROUND(store_performance[[#This Row],[AverageSales]]/store_performance[[#This Row],[AverageCustomers]],2)</f>
        <v>12.54</v>
      </c>
      <c r="E129" t="str">
        <f>_xlfn.XLOOKUP(store_performance[[#This Row],[Store]],store_clean[Store],store_clean[StoreType],"Not Found")</f>
        <v>d</v>
      </c>
    </row>
    <row r="130" spans="1:5" x14ac:dyDescent="0.2">
      <c r="A130">
        <v>129</v>
      </c>
      <c r="B130" s="1">
        <v>9208.1205787781346</v>
      </c>
      <c r="C130" s="1">
        <v>1165.4630225080386</v>
      </c>
      <c r="D130">
        <f>ROUND(store_performance[[#This Row],[AverageSales]]/store_performance[[#This Row],[AverageCustomers]],2)</f>
        <v>7.9</v>
      </c>
      <c r="E130" t="str">
        <f>_xlfn.XLOOKUP(store_performance[[#This Row],[Store]],store_clean[Store],store_clean[StoreType],"Not Found")</f>
        <v>a</v>
      </c>
    </row>
    <row r="131" spans="1:5" x14ac:dyDescent="0.2">
      <c r="A131">
        <v>130</v>
      </c>
      <c r="B131" s="1">
        <v>5121.0627400768244</v>
      </c>
      <c r="C131" s="1">
        <v>573.74519846350836</v>
      </c>
      <c r="D131">
        <f>ROUND(store_performance[[#This Row],[AverageSales]]/store_performance[[#This Row],[AverageCustomers]],2)</f>
        <v>8.93</v>
      </c>
      <c r="E131" t="str">
        <f>_xlfn.XLOOKUP(store_performance[[#This Row],[Store]],store_clean[Store],store_clean[StoreType],"Not Found")</f>
        <v>c</v>
      </c>
    </row>
    <row r="132" spans="1:5" x14ac:dyDescent="0.2">
      <c r="A132">
        <v>131</v>
      </c>
      <c r="B132" s="1">
        <v>5275.4043645699612</v>
      </c>
      <c r="C132" s="1">
        <v>558.89730423620028</v>
      </c>
      <c r="D132">
        <f>ROUND(store_performance[[#This Row],[AverageSales]]/store_performance[[#This Row],[AverageCustomers]],2)</f>
        <v>9.44</v>
      </c>
      <c r="E132" t="str">
        <f>_xlfn.XLOOKUP(store_performance[[#This Row],[Store]],store_clean[Store],store_clean[StoreType],"Not Found")</f>
        <v>c</v>
      </c>
    </row>
    <row r="133" spans="1:5" x14ac:dyDescent="0.2">
      <c r="A133">
        <v>132</v>
      </c>
      <c r="B133" s="1">
        <v>6283.2556270096466</v>
      </c>
      <c r="C133" s="1">
        <v>582.40514469453376</v>
      </c>
      <c r="D133">
        <f>ROUND(store_performance[[#This Row],[AverageSales]]/store_performance[[#This Row],[AverageCustomers]],2)</f>
        <v>10.79</v>
      </c>
      <c r="E133" t="str">
        <f>_xlfn.XLOOKUP(store_performance[[#This Row],[Store]],store_clean[Store],store_clean[StoreType],"Not Found")</f>
        <v>d</v>
      </c>
    </row>
    <row r="134" spans="1:5" x14ac:dyDescent="0.2">
      <c r="A134">
        <v>133</v>
      </c>
      <c r="B134" s="1">
        <v>6467.7595907928389</v>
      </c>
      <c r="C134" s="1">
        <v>758.8273657289003</v>
      </c>
      <c r="D134">
        <f>ROUND(store_performance[[#This Row],[AverageSales]]/store_performance[[#This Row],[AverageCustomers]],2)</f>
        <v>8.52</v>
      </c>
      <c r="E134" t="str">
        <f>_xlfn.XLOOKUP(store_performance[[#This Row],[Store]],store_clean[Store],store_clean[StoreType],"Not Found")</f>
        <v>a</v>
      </c>
    </row>
    <row r="135" spans="1:5" x14ac:dyDescent="0.2">
      <c r="A135">
        <v>134</v>
      </c>
      <c r="B135" s="1">
        <v>4725.8915816326535</v>
      </c>
      <c r="C135" s="1">
        <v>494.59693877551018</v>
      </c>
      <c r="D135">
        <f>ROUND(store_performance[[#This Row],[AverageSales]]/store_performance[[#This Row],[AverageCustomers]],2)</f>
        <v>9.56</v>
      </c>
      <c r="E135" t="str">
        <f>_xlfn.XLOOKUP(store_performance[[#This Row],[Store]],store_clean[Store],store_clean[StoreType],"Not Found")</f>
        <v>a</v>
      </c>
    </row>
    <row r="136" spans="1:5" x14ac:dyDescent="0.2">
      <c r="A136">
        <v>135</v>
      </c>
      <c r="B136" s="1">
        <v>5952.4161331626119</v>
      </c>
      <c r="C136" s="1">
        <v>539.78104993597947</v>
      </c>
      <c r="D136">
        <f>ROUND(store_performance[[#This Row],[AverageSales]]/store_performance[[#This Row],[AverageCustomers]],2)</f>
        <v>11.03</v>
      </c>
      <c r="E136" t="str">
        <f>_xlfn.XLOOKUP(store_performance[[#This Row],[Store]],store_clean[Store],store_clean[StoreType],"Not Found")</f>
        <v>d</v>
      </c>
    </row>
    <row r="137" spans="1:5" x14ac:dyDescent="0.2">
      <c r="A137">
        <v>136</v>
      </c>
      <c r="B137" s="1">
        <v>5488.8183279742761</v>
      </c>
      <c r="C137" s="1">
        <v>423.98070739549837</v>
      </c>
      <c r="D137">
        <f>ROUND(store_performance[[#This Row],[AverageSales]]/store_performance[[#This Row],[AverageCustomers]],2)</f>
        <v>12.95</v>
      </c>
      <c r="E137" t="str">
        <f>_xlfn.XLOOKUP(store_performance[[#This Row],[Store]],store_clean[Store],store_clean[StoreType],"Not Found")</f>
        <v>a</v>
      </c>
    </row>
    <row r="138" spans="1:5" x14ac:dyDescent="0.2">
      <c r="A138">
        <v>137</v>
      </c>
      <c r="B138" s="1">
        <v>8274.9823151125402</v>
      </c>
      <c r="C138" s="1">
        <v>957.28135048231513</v>
      </c>
      <c r="D138">
        <f>ROUND(store_performance[[#This Row],[AverageSales]]/store_performance[[#This Row],[AverageCustomers]],2)</f>
        <v>8.64</v>
      </c>
      <c r="E138" t="str">
        <f>_xlfn.XLOOKUP(store_performance[[#This Row],[Store]],store_clean[Store],store_clean[StoreType],"Not Found")</f>
        <v>a</v>
      </c>
    </row>
    <row r="139" spans="1:5" x14ac:dyDescent="0.2">
      <c r="A139">
        <v>138</v>
      </c>
      <c r="B139" s="1">
        <v>7334.917948717949</v>
      </c>
      <c r="C139" s="1">
        <v>714.44358974358977</v>
      </c>
      <c r="D139">
        <f>ROUND(store_performance[[#This Row],[AverageSales]]/store_performance[[#This Row],[AverageCustomers]],2)</f>
        <v>10.27</v>
      </c>
      <c r="E139" t="str">
        <f>_xlfn.XLOOKUP(store_performance[[#This Row],[Store]],store_clean[Store],store_clean[StoreType],"Not Found")</f>
        <v>a</v>
      </c>
    </row>
    <row r="140" spans="1:5" x14ac:dyDescent="0.2">
      <c r="A140">
        <v>139</v>
      </c>
      <c r="B140" s="1">
        <v>6464.1495176848875</v>
      </c>
      <c r="C140" s="1">
        <v>513.8151125401929</v>
      </c>
      <c r="D140">
        <f>ROUND(store_performance[[#This Row],[AverageSales]]/store_performance[[#This Row],[AverageCustomers]],2)</f>
        <v>12.58</v>
      </c>
      <c r="E140" t="str">
        <f>_xlfn.XLOOKUP(store_performance[[#This Row],[Store]],store_clean[Store],store_clean[StoreType],"Not Found")</f>
        <v>a</v>
      </c>
    </row>
    <row r="141" spans="1:5" x14ac:dyDescent="0.2">
      <c r="A141">
        <v>140</v>
      </c>
      <c r="B141" s="1">
        <v>7469.0499359795131</v>
      </c>
      <c r="C141" s="1">
        <v>963.61203585147246</v>
      </c>
      <c r="D141">
        <f>ROUND(store_performance[[#This Row],[AverageSales]]/store_performance[[#This Row],[AverageCustomers]],2)</f>
        <v>7.75</v>
      </c>
      <c r="E141" t="str">
        <f>_xlfn.XLOOKUP(store_performance[[#This Row],[Store]],store_clean[Store],store_clean[StoreType],"Not Found")</f>
        <v>a</v>
      </c>
    </row>
    <row r="142" spans="1:5" x14ac:dyDescent="0.2">
      <c r="A142">
        <v>141</v>
      </c>
      <c r="B142" s="1">
        <v>5540.7413127413129</v>
      </c>
      <c r="C142" s="1">
        <v>611.8983268983269</v>
      </c>
      <c r="D142">
        <f>ROUND(store_performance[[#This Row],[AverageSales]]/store_performance[[#This Row],[AverageCustomers]],2)</f>
        <v>9.06</v>
      </c>
      <c r="E142" t="str">
        <f>_xlfn.XLOOKUP(store_performance[[#This Row],[Store]],store_clean[Store],store_clean[StoreType],"Not Found")</f>
        <v>c</v>
      </c>
    </row>
    <row r="143" spans="1:5" x14ac:dyDescent="0.2">
      <c r="A143">
        <v>142</v>
      </c>
      <c r="B143" s="1">
        <v>4603.9653401797177</v>
      </c>
      <c r="C143" s="1">
        <v>568.73555840821564</v>
      </c>
      <c r="D143">
        <f>ROUND(store_performance[[#This Row],[AverageSales]]/store_performance[[#This Row],[AverageCustomers]],2)</f>
        <v>8.1</v>
      </c>
      <c r="E143" t="str">
        <f>_xlfn.XLOOKUP(store_performance[[#This Row],[Store]],store_clean[Store],store_clean[StoreType],"Not Found")</f>
        <v>a</v>
      </c>
    </row>
    <row r="144" spans="1:5" x14ac:dyDescent="0.2">
      <c r="A144">
        <v>143</v>
      </c>
      <c r="B144" s="1">
        <v>6314.7560975609758</v>
      </c>
      <c r="C144" s="1">
        <v>582.04236200256742</v>
      </c>
      <c r="D144">
        <f>ROUND(store_performance[[#This Row],[AverageSales]]/store_performance[[#This Row],[AverageCustomers]],2)</f>
        <v>10.85</v>
      </c>
      <c r="E144" t="str">
        <f>_xlfn.XLOOKUP(store_performance[[#This Row],[Store]],store_clean[Store],store_clean[StoreType],"Not Found")</f>
        <v>d</v>
      </c>
    </row>
    <row r="145" spans="1:5" x14ac:dyDescent="0.2">
      <c r="A145">
        <v>144</v>
      </c>
      <c r="B145" s="1">
        <v>7718.2064</v>
      </c>
      <c r="C145" s="1">
        <v>728.88959999999997</v>
      </c>
      <c r="D145">
        <f>ROUND(store_performance[[#This Row],[AverageSales]]/store_performance[[#This Row],[AverageCustomers]],2)</f>
        <v>10.59</v>
      </c>
      <c r="E145" t="str">
        <f>_xlfn.XLOOKUP(store_performance[[#This Row],[Store]],store_clean[Store],store_clean[StoreType],"Not Found")</f>
        <v>a</v>
      </c>
    </row>
    <row r="146" spans="1:5" x14ac:dyDescent="0.2">
      <c r="A146">
        <v>145</v>
      </c>
      <c r="B146" s="1">
        <v>8342.2631578947367</v>
      </c>
      <c r="C146" s="1">
        <v>1267.7861842105262</v>
      </c>
      <c r="D146">
        <f>ROUND(store_performance[[#This Row],[AverageSales]]/store_performance[[#This Row],[AverageCustomers]],2)</f>
        <v>6.58</v>
      </c>
      <c r="E146" t="str">
        <f>_xlfn.XLOOKUP(store_performance[[#This Row],[Store]],store_clean[Store],store_clean[StoreType],"Not Found")</f>
        <v>a</v>
      </c>
    </row>
    <row r="147" spans="1:5" x14ac:dyDescent="0.2">
      <c r="A147">
        <v>146</v>
      </c>
      <c r="B147" s="1">
        <v>7812.8305519897303</v>
      </c>
      <c r="C147" s="1">
        <v>702.42233632862644</v>
      </c>
      <c r="D147">
        <f>ROUND(store_performance[[#This Row],[AverageSales]]/store_performance[[#This Row],[AverageCustomers]],2)</f>
        <v>11.12</v>
      </c>
      <c r="E147" t="str">
        <f>_xlfn.XLOOKUP(store_performance[[#This Row],[Store]],store_clean[Store],store_clean[StoreType],"Not Found")</f>
        <v>d</v>
      </c>
    </row>
    <row r="148" spans="1:5" x14ac:dyDescent="0.2">
      <c r="A148">
        <v>147</v>
      </c>
      <c r="B148" s="1">
        <v>8212.558408215662</v>
      </c>
      <c r="C148" s="1">
        <v>879.61617458279841</v>
      </c>
      <c r="D148">
        <f>ROUND(store_performance[[#This Row],[AverageSales]]/store_performance[[#This Row],[AverageCustomers]],2)</f>
        <v>9.34</v>
      </c>
      <c r="E148" t="str">
        <f>_xlfn.XLOOKUP(store_performance[[#This Row],[Store]],store_clean[Store],store_clean[StoreType],"Not Found")</f>
        <v>d</v>
      </c>
    </row>
    <row r="149" spans="1:5" x14ac:dyDescent="0.2">
      <c r="A149">
        <v>148</v>
      </c>
      <c r="B149" s="1">
        <v>8638.9655612244896</v>
      </c>
      <c r="C149" s="1">
        <v>819.47704081632651</v>
      </c>
      <c r="D149">
        <f>ROUND(store_performance[[#This Row],[AverageSales]]/store_performance[[#This Row],[AverageCustomers]],2)</f>
        <v>10.54</v>
      </c>
      <c r="E149" t="str">
        <f>_xlfn.XLOOKUP(store_performance[[#This Row],[Store]],store_clean[Store],store_clean[StoreType],"Not Found")</f>
        <v>a</v>
      </c>
    </row>
    <row r="150" spans="1:5" x14ac:dyDescent="0.2">
      <c r="A150">
        <v>149</v>
      </c>
      <c r="B150" s="1">
        <v>5567.4839228295823</v>
      </c>
      <c r="C150" s="1">
        <v>486.21864951768487</v>
      </c>
      <c r="D150">
        <f>ROUND(store_performance[[#This Row],[AverageSales]]/store_performance[[#This Row],[AverageCustomers]],2)</f>
        <v>11.45</v>
      </c>
      <c r="E150" t="str">
        <f>_xlfn.XLOOKUP(store_performance[[#This Row],[Store]],store_clean[Store],store_clean[StoreType],"Not Found")</f>
        <v>d</v>
      </c>
    </row>
    <row r="151" spans="1:5" x14ac:dyDescent="0.2">
      <c r="A151">
        <v>150</v>
      </c>
      <c r="B151" s="1">
        <v>8417.2410714285706</v>
      </c>
      <c r="C151" s="1">
        <v>820.3966836734694</v>
      </c>
      <c r="D151">
        <f>ROUND(store_performance[[#This Row],[AverageSales]]/store_performance[[#This Row],[AverageCustomers]],2)</f>
        <v>10.26</v>
      </c>
      <c r="E151" t="str">
        <f>_xlfn.XLOOKUP(store_performance[[#This Row],[Store]],store_clean[Store],store_clean[StoreType],"Not Found")</f>
        <v>c</v>
      </c>
    </row>
    <row r="152" spans="1:5" x14ac:dyDescent="0.2">
      <c r="A152">
        <v>151</v>
      </c>
      <c r="B152" s="1">
        <v>6755.7641025641024</v>
      </c>
      <c r="C152" s="1">
        <v>652.00769230769231</v>
      </c>
      <c r="D152">
        <f>ROUND(store_performance[[#This Row],[AverageSales]]/store_performance[[#This Row],[AverageCustomers]],2)</f>
        <v>10.36</v>
      </c>
      <c r="E152" t="str">
        <f>_xlfn.XLOOKUP(store_performance[[#This Row],[Store]],store_clean[Store],store_clean[StoreType],"Not Found")</f>
        <v>d</v>
      </c>
    </row>
    <row r="153" spans="1:5" x14ac:dyDescent="0.2">
      <c r="A153">
        <v>152</v>
      </c>
      <c r="B153" s="1">
        <v>5541.939666238768</v>
      </c>
      <c r="C153" s="1">
        <v>621.40308087291396</v>
      </c>
      <c r="D153">
        <f>ROUND(store_performance[[#This Row],[AverageSales]]/store_performance[[#This Row],[AverageCustomers]],2)</f>
        <v>8.92</v>
      </c>
      <c r="E153" t="str">
        <f>_xlfn.XLOOKUP(store_performance[[#This Row],[Store]],store_clean[Store],store_clean[StoreType],"Not Found")</f>
        <v>a</v>
      </c>
    </row>
    <row r="154" spans="1:5" x14ac:dyDescent="0.2">
      <c r="A154">
        <v>153</v>
      </c>
      <c r="B154" s="1">
        <v>7066.8125802310651</v>
      </c>
      <c r="C154" s="1">
        <v>633.87933247753529</v>
      </c>
      <c r="D154">
        <f>ROUND(store_performance[[#This Row],[AverageSales]]/store_performance[[#This Row],[AverageCustomers]],2)</f>
        <v>11.15</v>
      </c>
      <c r="E154" t="str">
        <f>_xlfn.XLOOKUP(store_performance[[#This Row],[Store]],store_clean[Store],store_clean[StoreType],"Not Found")</f>
        <v>a</v>
      </c>
    </row>
    <row r="155" spans="1:5" x14ac:dyDescent="0.2">
      <c r="A155">
        <v>154</v>
      </c>
      <c r="B155" s="1">
        <v>8737.5736235595396</v>
      </c>
      <c r="C155" s="1">
        <v>737.43021766965433</v>
      </c>
      <c r="D155">
        <f>ROUND(store_performance[[#This Row],[AverageSales]]/store_performance[[#This Row],[AverageCustomers]],2)</f>
        <v>11.85</v>
      </c>
      <c r="E155" t="str">
        <f>_xlfn.XLOOKUP(store_performance[[#This Row],[Store]],store_clean[Store],store_clean[StoreType],"Not Found")</f>
        <v>d</v>
      </c>
    </row>
    <row r="156" spans="1:5" x14ac:dyDescent="0.2">
      <c r="A156">
        <v>155</v>
      </c>
      <c r="B156" s="1">
        <v>6886.852327447833</v>
      </c>
      <c r="C156" s="1">
        <v>660.30818619582669</v>
      </c>
      <c r="D156">
        <f>ROUND(store_performance[[#This Row],[AverageSales]]/store_performance[[#This Row],[AverageCustomers]],2)</f>
        <v>10.43</v>
      </c>
      <c r="E156" t="str">
        <f>_xlfn.XLOOKUP(store_performance[[#This Row],[Store]],store_clean[Store],store_clean[StoreType],"Not Found")</f>
        <v>d</v>
      </c>
    </row>
    <row r="157" spans="1:5" x14ac:dyDescent="0.2">
      <c r="A157">
        <v>156</v>
      </c>
      <c r="B157" s="1">
        <v>6961.6112531969311</v>
      </c>
      <c r="C157" s="1">
        <v>712.62020460358053</v>
      </c>
      <c r="D157">
        <f>ROUND(store_performance[[#This Row],[AverageSales]]/store_performance[[#This Row],[AverageCustomers]],2)</f>
        <v>9.77</v>
      </c>
      <c r="E157" t="str">
        <f>_xlfn.XLOOKUP(store_performance[[#This Row],[Store]],store_clean[Store],store_clean[StoreType],"Not Found")</f>
        <v>a</v>
      </c>
    </row>
    <row r="158" spans="1:5" x14ac:dyDescent="0.2">
      <c r="A158">
        <v>157</v>
      </c>
      <c r="B158" s="1">
        <v>9722.7907573812572</v>
      </c>
      <c r="C158" s="1">
        <v>989.83055198973045</v>
      </c>
      <c r="D158">
        <f>ROUND(store_performance[[#This Row],[AverageSales]]/store_performance[[#This Row],[AverageCustomers]],2)</f>
        <v>9.82</v>
      </c>
      <c r="E158" t="str">
        <f>_xlfn.XLOOKUP(store_performance[[#This Row],[Store]],store_clean[Store],store_clean[StoreType],"Not Found")</f>
        <v>a</v>
      </c>
    </row>
    <row r="159" spans="1:5" x14ac:dyDescent="0.2">
      <c r="A159">
        <v>158</v>
      </c>
      <c r="B159" s="1">
        <v>8156.8652118100126</v>
      </c>
      <c r="C159" s="1">
        <v>519.98459563543008</v>
      </c>
      <c r="D159">
        <f>ROUND(store_performance[[#This Row],[AverageSales]]/store_performance[[#This Row],[AverageCustomers]],2)</f>
        <v>15.69</v>
      </c>
      <c r="E159" t="str">
        <f>_xlfn.XLOOKUP(store_performance[[#This Row],[Store]],store_clean[Store],store_clean[StoreType],"Not Found")</f>
        <v>d</v>
      </c>
    </row>
    <row r="160" spans="1:5" x14ac:dyDescent="0.2">
      <c r="A160">
        <v>159</v>
      </c>
      <c r="B160" s="1">
        <v>7748.6083467094704</v>
      </c>
      <c r="C160" s="1">
        <v>695.97271268057784</v>
      </c>
      <c r="D160">
        <f>ROUND(store_performance[[#This Row],[AverageSales]]/store_performance[[#This Row],[AverageCustomers]],2)</f>
        <v>11.13</v>
      </c>
      <c r="E160" t="str">
        <f>_xlfn.XLOOKUP(store_performance[[#This Row],[Store]],store_clean[Store],store_clean[StoreType],"Not Found")</f>
        <v>d</v>
      </c>
    </row>
    <row r="161" spans="1:5" x14ac:dyDescent="0.2">
      <c r="A161">
        <v>160</v>
      </c>
      <c r="B161" s="1">
        <v>5730.6581306017924</v>
      </c>
      <c r="C161" s="1">
        <v>559.18437900128038</v>
      </c>
      <c r="D161">
        <f>ROUND(store_performance[[#This Row],[AverageSales]]/store_performance[[#This Row],[AverageCustomers]],2)</f>
        <v>10.25</v>
      </c>
      <c r="E161" t="str">
        <f>_xlfn.XLOOKUP(store_performance[[#This Row],[Store]],store_clean[Store],store_clean[StoreType],"Not Found")</f>
        <v>d</v>
      </c>
    </row>
    <row r="162" spans="1:5" x14ac:dyDescent="0.2">
      <c r="A162">
        <v>161</v>
      </c>
      <c r="B162" s="1">
        <v>7252.5982028241333</v>
      </c>
      <c r="C162" s="1">
        <v>819.2182284980745</v>
      </c>
      <c r="D162">
        <f>ROUND(store_performance[[#This Row],[AverageSales]]/store_performance[[#This Row],[AverageCustomers]],2)</f>
        <v>8.85</v>
      </c>
      <c r="E162" t="str">
        <f>_xlfn.XLOOKUP(store_performance[[#This Row],[Store]],store_clean[Store],store_clean[StoreType],"Not Found")</f>
        <v>a</v>
      </c>
    </row>
    <row r="163" spans="1:5" x14ac:dyDescent="0.2">
      <c r="A163">
        <v>162</v>
      </c>
      <c r="B163" s="1">
        <v>7768.131882202305</v>
      </c>
      <c r="C163" s="1">
        <v>555.69526248399484</v>
      </c>
      <c r="D163">
        <f>ROUND(store_performance[[#This Row],[AverageSales]]/store_performance[[#This Row],[AverageCustomers]],2)</f>
        <v>13.98</v>
      </c>
      <c r="E163" t="str">
        <f>_xlfn.XLOOKUP(store_performance[[#This Row],[Store]],store_clean[Store],store_clean[StoreType],"Not Found")</f>
        <v>d</v>
      </c>
    </row>
    <row r="164" spans="1:5" x14ac:dyDescent="0.2">
      <c r="A164">
        <v>163</v>
      </c>
      <c r="B164" s="1">
        <v>7298.7066326530612</v>
      </c>
      <c r="C164" s="1">
        <v>870.80484693877554</v>
      </c>
      <c r="D164">
        <f>ROUND(store_performance[[#This Row],[AverageSales]]/store_performance[[#This Row],[AverageCustomers]],2)</f>
        <v>8.3800000000000008</v>
      </c>
      <c r="E164" t="str">
        <f>_xlfn.XLOOKUP(store_performance[[#This Row],[Store]],store_clean[Store],store_clean[StoreType],"Not Found")</f>
        <v>a</v>
      </c>
    </row>
    <row r="165" spans="1:5" x14ac:dyDescent="0.2">
      <c r="A165">
        <v>164</v>
      </c>
      <c r="B165" s="1">
        <v>6210.2182985553773</v>
      </c>
      <c r="C165" s="1">
        <v>633.43338683788124</v>
      </c>
      <c r="D165">
        <f>ROUND(store_performance[[#This Row],[AverageSales]]/store_performance[[#This Row],[AverageCustomers]],2)</f>
        <v>9.8000000000000007</v>
      </c>
      <c r="E165" t="str">
        <f>_xlfn.XLOOKUP(store_performance[[#This Row],[Store]],store_clean[Store],store_clean[StoreType],"Not Found")</f>
        <v>a</v>
      </c>
    </row>
    <row r="166" spans="1:5" x14ac:dyDescent="0.2">
      <c r="A166">
        <v>165</v>
      </c>
      <c r="B166" s="1">
        <v>3996.8344051446948</v>
      </c>
      <c r="C166" s="1">
        <v>422.65434083601286</v>
      </c>
      <c r="D166">
        <f>ROUND(store_performance[[#This Row],[AverageSales]]/store_performance[[#This Row],[AverageCustomers]],2)</f>
        <v>9.4600000000000009</v>
      </c>
      <c r="E166" t="str">
        <f>_xlfn.XLOOKUP(store_performance[[#This Row],[Store]],store_clean[Store],store_clean[StoreType],"Not Found")</f>
        <v>a</v>
      </c>
    </row>
    <row r="167" spans="1:5" x14ac:dyDescent="0.2">
      <c r="A167">
        <v>166</v>
      </c>
      <c r="B167" s="1">
        <v>5819.2464698331196</v>
      </c>
      <c r="C167" s="1">
        <v>817.26829268292681</v>
      </c>
      <c r="D167">
        <f>ROUND(store_performance[[#This Row],[AverageSales]]/store_performance[[#This Row],[AverageCustomers]],2)</f>
        <v>7.12</v>
      </c>
      <c r="E167" t="str">
        <f>_xlfn.XLOOKUP(store_performance[[#This Row],[Store]],store_clean[Store],store_clean[StoreType],"Not Found")</f>
        <v>a</v>
      </c>
    </row>
    <row r="168" spans="1:5" x14ac:dyDescent="0.2">
      <c r="A168">
        <v>167</v>
      </c>
      <c r="B168" s="1">
        <v>9295.7794871794868</v>
      </c>
      <c r="C168" s="1">
        <v>1055.1846153846154</v>
      </c>
      <c r="D168">
        <f>ROUND(store_performance[[#This Row],[AverageSales]]/store_performance[[#This Row],[AverageCustomers]],2)</f>
        <v>8.81</v>
      </c>
      <c r="E168" t="str">
        <f>_xlfn.XLOOKUP(store_performance[[#This Row],[Store]],store_clean[Store],store_clean[StoreType],"Not Found")</f>
        <v>a</v>
      </c>
    </row>
    <row r="169" spans="1:5" x14ac:dyDescent="0.2">
      <c r="A169">
        <v>168</v>
      </c>
      <c r="B169" s="1">
        <v>7517.1480051480048</v>
      </c>
      <c r="C169" s="1">
        <v>731.24453024453021</v>
      </c>
      <c r="D169">
        <f>ROUND(store_performance[[#This Row],[AverageSales]]/store_performance[[#This Row],[AverageCustomers]],2)</f>
        <v>10.28</v>
      </c>
      <c r="E169" t="str">
        <f>_xlfn.XLOOKUP(store_performance[[#This Row],[Store]],store_clean[Store],store_clean[StoreType],"Not Found")</f>
        <v>a</v>
      </c>
    </row>
    <row r="170" spans="1:5" x14ac:dyDescent="0.2">
      <c r="A170">
        <v>169</v>
      </c>
      <c r="B170" s="1">
        <v>7218.9281984334202</v>
      </c>
      <c r="C170" s="1">
        <v>687.91644908616183</v>
      </c>
      <c r="D170">
        <f>ROUND(store_performance[[#This Row],[AverageSales]]/store_performance[[#This Row],[AverageCustomers]],2)</f>
        <v>10.49</v>
      </c>
      <c r="E170" t="str">
        <f>_xlfn.XLOOKUP(store_performance[[#This Row],[Store]],store_clean[Store],store_clean[StoreType],"Not Found")</f>
        <v>d</v>
      </c>
    </row>
    <row r="171" spans="1:5" x14ac:dyDescent="0.2">
      <c r="A171">
        <v>170</v>
      </c>
      <c r="B171" s="1">
        <v>5009.4415917843389</v>
      </c>
      <c r="C171" s="1">
        <v>543.76251604621314</v>
      </c>
      <c r="D171">
        <f>ROUND(store_performance[[#This Row],[AverageSales]]/store_performance[[#This Row],[AverageCustomers]],2)</f>
        <v>9.2100000000000009</v>
      </c>
      <c r="E171" t="str">
        <f>_xlfn.XLOOKUP(store_performance[[#This Row],[Store]],store_clean[Store],store_clean[StoreType],"Not Found")</f>
        <v>a</v>
      </c>
    </row>
    <row r="172" spans="1:5" x14ac:dyDescent="0.2">
      <c r="A172">
        <v>171</v>
      </c>
      <c r="B172" s="1">
        <v>8429.1476251604618</v>
      </c>
      <c r="C172" s="1">
        <v>867.24518613607188</v>
      </c>
      <c r="D172">
        <f>ROUND(store_performance[[#This Row],[AverageSales]]/store_performance[[#This Row],[AverageCustomers]],2)</f>
        <v>9.7200000000000006</v>
      </c>
      <c r="E172" t="str">
        <f>_xlfn.XLOOKUP(store_performance[[#This Row],[Store]],store_clean[Store],store_clean[StoreType],"Not Found")</f>
        <v>a</v>
      </c>
    </row>
    <row r="173" spans="1:5" x14ac:dyDescent="0.2">
      <c r="A173">
        <v>172</v>
      </c>
      <c r="B173" s="1">
        <v>6981.6720257234729</v>
      </c>
      <c r="C173" s="1">
        <v>868.90192926045017</v>
      </c>
      <c r="D173">
        <f>ROUND(store_performance[[#This Row],[AverageSales]]/store_performance[[#This Row],[AverageCustomers]],2)</f>
        <v>8.0399999999999991</v>
      </c>
      <c r="E173" t="str">
        <f>_xlfn.XLOOKUP(store_performance[[#This Row],[Store]],store_clean[Store],store_clean[StoreType],"Not Found")</f>
        <v>a</v>
      </c>
    </row>
    <row r="174" spans="1:5" x14ac:dyDescent="0.2">
      <c r="A174">
        <v>173</v>
      </c>
      <c r="B174" s="1">
        <v>8232.7831632653069</v>
      </c>
      <c r="C174" s="1">
        <v>1006.5369897959183</v>
      </c>
      <c r="D174">
        <f>ROUND(store_performance[[#This Row],[AverageSales]]/store_performance[[#This Row],[AverageCustomers]],2)</f>
        <v>8.18</v>
      </c>
      <c r="E174" t="str">
        <f>_xlfn.XLOOKUP(store_performance[[#This Row],[Store]],store_clean[Store],store_clean[StoreType],"Not Found")</f>
        <v>a</v>
      </c>
    </row>
    <row r="175" spans="1:5" x14ac:dyDescent="0.2">
      <c r="A175">
        <v>174</v>
      </c>
      <c r="B175" s="1">
        <v>5936.5401929260452</v>
      </c>
      <c r="C175" s="1">
        <v>479.52250803858522</v>
      </c>
      <c r="D175">
        <f>ROUND(store_performance[[#This Row],[AverageSales]]/store_performance[[#This Row],[AverageCustomers]],2)</f>
        <v>12.38</v>
      </c>
      <c r="E175" t="str">
        <f>_xlfn.XLOOKUP(store_performance[[#This Row],[Store]],store_clean[Store],store_clean[StoreType],"Not Found")</f>
        <v>a</v>
      </c>
    </row>
    <row r="176" spans="1:5" x14ac:dyDescent="0.2">
      <c r="A176">
        <v>175</v>
      </c>
      <c r="B176" s="1">
        <v>5784.5484693877552</v>
      </c>
      <c r="C176" s="1">
        <v>690.7079081632653</v>
      </c>
      <c r="D176">
        <f>ROUND(store_performance[[#This Row],[AverageSales]]/store_performance[[#This Row],[AverageCustomers]],2)</f>
        <v>8.3699999999999992</v>
      </c>
      <c r="E176" t="str">
        <f>_xlfn.XLOOKUP(store_performance[[#This Row],[Store]],store_clean[Store],store_clean[StoreType],"Not Found")</f>
        <v>c</v>
      </c>
    </row>
    <row r="177" spans="1:5" x14ac:dyDescent="0.2">
      <c r="A177">
        <v>176</v>
      </c>
      <c r="B177" s="1">
        <v>5278.1771501925541</v>
      </c>
      <c r="C177" s="1">
        <v>631.99871630295252</v>
      </c>
      <c r="D177">
        <f>ROUND(store_performance[[#This Row],[AverageSales]]/store_performance[[#This Row],[AverageCustomers]],2)</f>
        <v>8.35</v>
      </c>
      <c r="E177" t="str">
        <f>_xlfn.XLOOKUP(store_performance[[#This Row],[Store]],store_clean[Store],store_clean[StoreType],"Not Found")</f>
        <v>a</v>
      </c>
    </row>
    <row r="178" spans="1:5" x14ac:dyDescent="0.2">
      <c r="A178">
        <v>177</v>
      </c>
      <c r="B178" s="1">
        <v>3994.0961538461538</v>
      </c>
      <c r="C178" s="1">
        <v>485.27692307692308</v>
      </c>
      <c r="D178">
        <f>ROUND(store_performance[[#This Row],[AverageSales]]/store_performance[[#This Row],[AverageCustomers]],2)</f>
        <v>8.23</v>
      </c>
      <c r="E178" t="str">
        <f>_xlfn.XLOOKUP(store_performance[[#This Row],[Store]],store_clean[Store],store_clean[StoreType],"Not Found")</f>
        <v>a</v>
      </c>
    </row>
    <row r="179" spans="1:5" x14ac:dyDescent="0.2">
      <c r="A179">
        <v>178</v>
      </c>
      <c r="B179" s="1">
        <v>10089.92564102564</v>
      </c>
      <c r="C179" s="1">
        <v>923.56538461538457</v>
      </c>
      <c r="D179">
        <f>ROUND(store_performance[[#This Row],[AverageSales]]/store_performance[[#This Row],[AverageCustomers]],2)</f>
        <v>10.92</v>
      </c>
      <c r="E179" t="str">
        <f>_xlfn.XLOOKUP(store_performance[[#This Row],[Store]],store_clean[Store],store_clean[StoreType],"Not Found")</f>
        <v>d</v>
      </c>
    </row>
    <row r="180" spans="1:5" x14ac:dyDescent="0.2">
      <c r="A180">
        <v>179</v>
      </c>
      <c r="B180" s="1">
        <v>7295.2747111681647</v>
      </c>
      <c r="C180" s="1">
        <v>955.83183568677794</v>
      </c>
      <c r="D180">
        <f>ROUND(store_performance[[#This Row],[AverageSales]]/store_performance[[#This Row],[AverageCustomers]],2)</f>
        <v>7.63</v>
      </c>
      <c r="E180" t="str">
        <f>_xlfn.XLOOKUP(store_performance[[#This Row],[Store]],store_clean[Store],store_clean[StoreType],"Not Found")</f>
        <v>a</v>
      </c>
    </row>
    <row r="181" spans="1:5" x14ac:dyDescent="0.2">
      <c r="A181">
        <v>180</v>
      </c>
      <c r="B181" s="1">
        <v>7220.0612244897957</v>
      </c>
      <c r="C181" s="1">
        <v>843.23852040816325</v>
      </c>
      <c r="D181">
        <f>ROUND(store_performance[[#This Row],[AverageSales]]/store_performance[[#This Row],[AverageCustomers]],2)</f>
        <v>8.56</v>
      </c>
      <c r="E181" t="str">
        <f>_xlfn.XLOOKUP(store_performance[[#This Row],[Store]],store_clean[Store],store_clean[StoreType],"Not Found")</f>
        <v>d</v>
      </c>
    </row>
    <row r="182" spans="1:5" x14ac:dyDescent="0.2">
      <c r="A182">
        <v>181</v>
      </c>
      <c r="B182" s="1">
        <v>6382.6982343499194</v>
      </c>
      <c r="C182" s="1">
        <v>668.78972712680581</v>
      </c>
      <c r="D182">
        <f>ROUND(store_performance[[#This Row],[AverageSales]]/store_performance[[#This Row],[AverageCustomers]],2)</f>
        <v>9.5399999999999991</v>
      </c>
      <c r="E182" t="str">
        <f>_xlfn.XLOOKUP(store_performance[[#This Row],[Store]],store_clean[Store],store_clean[StoreType],"Not Found")</f>
        <v>a</v>
      </c>
    </row>
    <row r="183" spans="1:5" x14ac:dyDescent="0.2">
      <c r="A183">
        <v>182</v>
      </c>
      <c r="B183" s="1">
        <v>5304.6542893725991</v>
      </c>
      <c r="C183" s="1">
        <v>417.79385403329064</v>
      </c>
      <c r="D183">
        <f>ROUND(store_performance[[#This Row],[AverageSales]]/store_performance[[#This Row],[AverageCustomers]],2)</f>
        <v>12.7</v>
      </c>
      <c r="E183" t="str">
        <f>_xlfn.XLOOKUP(store_performance[[#This Row],[Store]],store_clean[Store],store_clean[StoreType],"Not Found")</f>
        <v>d</v>
      </c>
    </row>
    <row r="184" spans="1:5" x14ac:dyDescent="0.2">
      <c r="A184">
        <v>183</v>
      </c>
      <c r="B184" s="1">
        <v>4821.3355155482814</v>
      </c>
      <c r="C184" s="1">
        <v>601.0360065466449</v>
      </c>
      <c r="D184">
        <f>ROUND(store_performance[[#This Row],[AverageSales]]/store_performance[[#This Row],[AverageCustomers]],2)</f>
        <v>8.02</v>
      </c>
      <c r="E184" t="str">
        <f>_xlfn.XLOOKUP(store_performance[[#This Row],[Store]],store_clean[Store],store_clean[StoreType],"Not Found")</f>
        <v>a</v>
      </c>
    </row>
    <row r="185" spans="1:5" x14ac:dyDescent="0.2">
      <c r="A185">
        <v>184</v>
      </c>
      <c r="B185" s="1">
        <v>6594.2972972972975</v>
      </c>
      <c r="C185" s="1">
        <v>595.66795366795361</v>
      </c>
      <c r="D185">
        <f>ROUND(store_performance[[#This Row],[AverageSales]]/store_performance[[#This Row],[AverageCustomers]],2)</f>
        <v>11.07</v>
      </c>
      <c r="E185" t="str">
        <f>_xlfn.XLOOKUP(store_performance[[#This Row],[Store]],store_clean[Store],store_clean[StoreType],"Not Found")</f>
        <v>d</v>
      </c>
    </row>
    <row r="186" spans="1:5" x14ac:dyDescent="0.2">
      <c r="A186">
        <v>185</v>
      </c>
      <c r="B186" s="1">
        <v>7170.6173469387759</v>
      </c>
      <c r="C186" s="1">
        <v>545.2283163265306</v>
      </c>
      <c r="D186">
        <f>ROUND(store_performance[[#This Row],[AverageSales]]/store_performance[[#This Row],[AverageCustomers]],2)</f>
        <v>13.15</v>
      </c>
      <c r="E186" t="str">
        <f>_xlfn.XLOOKUP(store_performance[[#This Row],[Store]],store_clean[Store],store_clean[StoreType],"Not Found")</f>
        <v>d</v>
      </c>
    </row>
    <row r="187" spans="1:5" x14ac:dyDescent="0.2">
      <c r="A187">
        <v>186</v>
      </c>
      <c r="B187" s="1">
        <v>3783.8392282958198</v>
      </c>
      <c r="C187" s="1">
        <v>381.05948553054662</v>
      </c>
      <c r="D187">
        <f>ROUND(store_performance[[#This Row],[AverageSales]]/store_performance[[#This Row],[AverageCustomers]],2)</f>
        <v>9.93</v>
      </c>
      <c r="E187" t="str">
        <f>_xlfn.XLOOKUP(store_performance[[#This Row],[Store]],store_clean[Store],store_clean[StoreType],"Not Found")</f>
        <v>a</v>
      </c>
    </row>
    <row r="188" spans="1:5" x14ac:dyDescent="0.2">
      <c r="A188">
        <v>187</v>
      </c>
      <c r="B188" s="1">
        <v>6279.7334183673465</v>
      </c>
      <c r="C188" s="1">
        <v>775.7079081632653</v>
      </c>
      <c r="D188">
        <f>ROUND(store_performance[[#This Row],[AverageSales]]/store_performance[[#This Row],[AverageCustomers]],2)</f>
        <v>8.1</v>
      </c>
      <c r="E188" t="str">
        <f>_xlfn.XLOOKUP(store_performance[[#This Row],[Store]],store_clean[Store],store_clean[StoreType],"Not Found")</f>
        <v>a</v>
      </c>
    </row>
    <row r="189" spans="1:5" x14ac:dyDescent="0.2">
      <c r="A189">
        <v>188</v>
      </c>
      <c r="B189" s="1">
        <v>4986.9525032092424</v>
      </c>
      <c r="C189" s="1">
        <v>438.24005134788189</v>
      </c>
      <c r="D189">
        <f>ROUND(store_performance[[#This Row],[AverageSales]]/store_performance[[#This Row],[AverageCustomers]],2)</f>
        <v>11.38</v>
      </c>
      <c r="E189" t="str">
        <f>_xlfn.XLOOKUP(store_performance[[#This Row],[Store]],store_clean[Store],store_clean[StoreType],"Not Found")</f>
        <v>d</v>
      </c>
    </row>
    <row r="190" spans="1:5" x14ac:dyDescent="0.2">
      <c r="A190">
        <v>189</v>
      </c>
      <c r="B190" s="1">
        <v>8762.9293966623882</v>
      </c>
      <c r="C190" s="1">
        <v>837.12580231065465</v>
      </c>
      <c r="D190">
        <f>ROUND(store_performance[[#This Row],[AverageSales]]/store_performance[[#This Row],[AverageCustomers]],2)</f>
        <v>10.47</v>
      </c>
      <c r="E190" t="str">
        <f>_xlfn.XLOOKUP(store_performance[[#This Row],[Store]],store_clean[Store],store_clean[StoreType],"Not Found")</f>
        <v>d</v>
      </c>
    </row>
    <row r="191" spans="1:5" x14ac:dyDescent="0.2">
      <c r="A191">
        <v>190</v>
      </c>
      <c r="B191" s="1">
        <v>7198.9549839228293</v>
      </c>
      <c r="C191" s="1">
        <v>656.104501607717</v>
      </c>
      <c r="D191">
        <f>ROUND(store_performance[[#This Row],[AverageSales]]/store_performance[[#This Row],[AverageCustomers]],2)</f>
        <v>10.97</v>
      </c>
      <c r="E191" t="str">
        <f>_xlfn.XLOOKUP(store_performance[[#This Row],[Store]],store_clean[Store],store_clean[StoreType],"Not Found")</f>
        <v>a</v>
      </c>
    </row>
    <row r="192" spans="1:5" x14ac:dyDescent="0.2">
      <c r="A192">
        <v>191</v>
      </c>
      <c r="B192" s="1">
        <v>6838.9372990353695</v>
      </c>
      <c r="C192" s="1">
        <v>713.85852090032154</v>
      </c>
      <c r="D192">
        <f>ROUND(store_performance[[#This Row],[AverageSales]]/store_performance[[#This Row],[AverageCustomers]],2)</f>
        <v>9.58</v>
      </c>
      <c r="E192" t="str">
        <f>_xlfn.XLOOKUP(store_performance[[#This Row],[Store]],store_clean[Store],store_clean[StoreType],"Not Found")</f>
        <v>a</v>
      </c>
    </row>
    <row r="193" spans="1:5" x14ac:dyDescent="0.2">
      <c r="A193">
        <v>192</v>
      </c>
      <c r="B193" s="1">
        <v>9016.8344051446948</v>
      </c>
      <c r="C193" s="1">
        <v>645.41318327974273</v>
      </c>
      <c r="D193">
        <f>ROUND(store_performance[[#This Row],[AverageSales]]/store_performance[[#This Row],[AverageCustomers]],2)</f>
        <v>13.97</v>
      </c>
      <c r="E193" t="str">
        <f>_xlfn.XLOOKUP(store_performance[[#This Row],[Store]],store_clean[Store],store_clean[StoreType],"Not Found")</f>
        <v>d</v>
      </c>
    </row>
    <row r="194" spans="1:5" x14ac:dyDescent="0.2">
      <c r="A194">
        <v>193</v>
      </c>
      <c r="B194" s="1">
        <v>5362.0360360360364</v>
      </c>
      <c r="C194" s="1">
        <v>781.65894465894462</v>
      </c>
      <c r="D194">
        <f>ROUND(store_performance[[#This Row],[AverageSales]]/store_performance[[#This Row],[AverageCustomers]],2)</f>
        <v>6.86</v>
      </c>
      <c r="E194" t="str">
        <f>_xlfn.XLOOKUP(store_performance[[#This Row],[Store]],store_clean[Store],store_clean[StoreType],"Not Found")</f>
        <v>a</v>
      </c>
    </row>
    <row r="195" spans="1:5" x14ac:dyDescent="0.2">
      <c r="A195">
        <v>194</v>
      </c>
      <c r="B195" s="1">
        <v>4829.4929214929216</v>
      </c>
      <c r="C195" s="1">
        <v>417.64993564993563</v>
      </c>
      <c r="D195">
        <f>ROUND(store_performance[[#This Row],[AverageSales]]/store_performance[[#This Row],[AverageCustomers]],2)</f>
        <v>11.56</v>
      </c>
      <c r="E195" t="str">
        <f>_xlfn.XLOOKUP(store_performance[[#This Row],[Store]],store_clean[Store],store_clean[StoreType],"Not Found")</f>
        <v>d</v>
      </c>
    </row>
    <row r="196" spans="1:5" x14ac:dyDescent="0.2">
      <c r="A196">
        <v>195</v>
      </c>
      <c r="B196" s="1">
        <v>10713.17971758665</v>
      </c>
      <c r="C196" s="1">
        <v>1298.4403080872914</v>
      </c>
      <c r="D196">
        <f>ROUND(store_performance[[#This Row],[AverageSales]]/store_performance[[#This Row],[AverageCustomers]],2)</f>
        <v>8.25</v>
      </c>
      <c r="E196" t="str">
        <f>_xlfn.XLOOKUP(store_performance[[#This Row],[Store]],store_clean[Store],store_clean[StoreType],"Not Found")</f>
        <v>a</v>
      </c>
    </row>
    <row r="197" spans="1:5" x14ac:dyDescent="0.2">
      <c r="A197">
        <v>196</v>
      </c>
      <c r="B197" s="1">
        <v>5216.3363171355495</v>
      </c>
      <c r="C197" s="1">
        <v>696.85294117647061</v>
      </c>
      <c r="D197">
        <f>ROUND(store_performance[[#This Row],[AverageSales]]/store_performance[[#This Row],[AverageCustomers]],2)</f>
        <v>7.49</v>
      </c>
      <c r="E197" t="str">
        <f>_xlfn.XLOOKUP(store_performance[[#This Row],[Store]],store_clean[Store],store_clean[StoreType],"Not Found")</f>
        <v>c</v>
      </c>
    </row>
    <row r="198" spans="1:5" x14ac:dyDescent="0.2">
      <c r="A198">
        <v>197</v>
      </c>
      <c r="B198" s="1">
        <v>6846.6683673469388</v>
      </c>
      <c r="C198" s="1">
        <v>842.28061224489795</v>
      </c>
      <c r="D198">
        <f>ROUND(store_performance[[#This Row],[AverageSales]]/store_performance[[#This Row],[AverageCustomers]],2)</f>
        <v>8.1300000000000008</v>
      </c>
      <c r="E198" t="str">
        <f>_xlfn.XLOOKUP(store_performance[[#This Row],[Store]],store_clean[Store],store_clean[StoreType],"Not Found")</f>
        <v>c</v>
      </c>
    </row>
    <row r="199" spans="1:5" x14ac:dyDescent="0.2">
      <c r="A199">
        <v>198</v>
      </c>
      <c r="B199" s="1">
        <v>2900.6048593350383</v>
      </c>
      <c r="C199" s="1">
        <v>338.47826086956519</v>
      </c>
      <c r="D199">
        <f>ROUND(store_performance[[#This Row],[AverageSales]]/store_performance[[#This Row],[AverageCustomers]],2)</f>
        <v>8.57</v>
      </c>
      <c r="E199" t="str">
        <f>_xlfn.XLOOKUP(store_performance[[#This Row],[Store]],store_clean[Store],store_clean[StoreType],"Not Found")</f>
        <v>a</v>
      </c>
    </row>
    <row r="200" spans="1:5" x14ac:dyDescent="0.2">
      <c r="A200">
        <v>199</v>
      </c>
      <c r="B200" s="1">
        <v>7955.6970474967911</v>
      </c>
      <c r="C200" s="1">
        <v>624.58279845956349</v>
      </c>
      <c r="D200">
        <f>ROUND(store_performance[[#This Row],[AverageSales]]/store_performance[[#This Row],[AverageCustomers]],2)</f>
        <v>12.74</v>
      </c>
      <c r="E200" t="str">
        <f>_xlfn.XLOOKUP(store_performance[[#This Row],[Store]],store_clean[Store],store_clean[StoreType],"Not Found")</f>
        <v>d</v>
      </c>
    </row>
    <row r="201" spans="1:5" x14ac:dyDescent="0.2">
      <c r="A201">
        <v>200</v>
      </c>
      <c r="B201" s="1">
        <v>7729.5442875481385</v>
      </c>
      <c r="C201" s="1">
        <v>967.65340179717589</v>
      </c>
      <c r="D201">
        <f>ROUND(store_performance[[#This Row],[AverageSales]]/store_performance[[#This Row],[AverageCustomers]],2)</f>
        <v>7.99</v>
      </c>
      <c r="E201" t="str">
        <f>_xlfn.XLOOKUP(store_performance[[#This Row],[Store]],store_clean[Store],store_clean[StoreType],"Not Found")</f>
        <v>a</v>
      </c>
    </row>
    <row r="202" spans="1:5" x14ac:dyDescent="0.2">
      <c r="A202">
        <v>201</v>
      </c>
      <c r="B202" s="1">
        <v>5249.3517329910137</v>
      </c>
      <c r="C202" s="1">
        <v>444.21566110397947</v>
      </c>
      <c r="D202">
        <f>ROUND(store_performance[[#This Row],[AverageSales]]/store_performance[[#This Row],[AverageCustomers]],2)</f>
        <v>11.82</v>
      </c>
      <c r="E202" t="str">
        <f>_xlfn.XLOOKUP(store_performance[[#This Row],[Store]],store_clean[Store],store_clean[StoreType],"Not Found")</f>
        <v>d</v>
      </c>
    </row>
    <row r="203" spans="1:5" x14ac:dyDescent="0.2">
      <c r="A203">
        <v>202</v>
      </c>
      <c r="B203" s="1">
        <v>6065.797695262484</v>
      </c>
      <c r="C203" s="1">
        <v>509.39180537772086</v>
      </c>
      <c r="D203">
        <f>ROUND(store_performance[[#This Row],[AverageSales]]/store_performance[[#This Row],[AverageCustomers]],2)</f>
        <v>11.91</v>
      </c>
      <c r="E203" t="str">
        <f>_xlfn.XLOOKUP(store_performance[[#This Row],[Store]],store_clean[Store],store_clean[StoreType],"Not Found")</f>
        <v>d</v>
      </c>
    </row>
    <row r="204" spans="1:5" x14ac:dyDescent="0.2">
      <c r="A204">
        <v>203</v>
      </c>
      <c r="B204" s="1">
        <v>6775.2404092071611</v>
      </c>
      <c r="C204" s="1">
        <v>882.54987212276217</v>
      </c>
      <c r="D204">
        <f>ROUND(store_performance[[#This Row],[AverageSales]]/store_performance[[#This Row],[AverageCustomers]],2)</f>
        <v>7.68</v>
      </c>
      <c r="E204" t="str">
        <f>_xlfn.XLOOKUP(store_performance[[#This Row],[Store]],store_clean[Store],store_clean[StoreType],"Not Found")</f>
        <v>c</v>
      </c>
    </row>
    <row r="205" spans="1:5" x14ac:dyDescent="0.2">
      <c r="A205">
        <v>204</v>
      </c>
      <c r="B205" s="1">
        <v>5486.2475884244377</v>
      </c>
      <c r="C205" s="1">
        <v>524.17845659163982</v>
      </c>
      <c r="D205">
        <f>ROUND(store_performance[[#This Row],[AverageSales]]/store_performance[[#This Row],[AverageCustomers]],2)</f>
        <v>10.47</v>
      </c>
      <c r="E205" t="str">
        <f>_xlfn.XLOOKUP(store_performance[[#This Row],[Store]],store_clean[Store],store_clean[StoreType],"Not Found")</f>
        <v>a</v>
      </c>
    </row>
    <row r="206" spans="1:5" x14ac:dyDescent="0.2">
      <c r="A206">
        <v>205</v>
      </c>
      <c r="B206" s="1">
        <v>6536.8201530612241</v>
      </c>
      <c r="C206" s="1">
        <v>879.1862244897959</v>
      </c>
      <c r="D206">
        <f>ROUND(store_performance[[#This Row],[AverageSales]]/store_performance[[#This Row],[AverageCustomers]],2)</f>
        <v>7.44</v>
      </c>
      <c r="E206" t="str">
        <f>_xlfn.XLOOKUP(store_performance[[#This Row],[Store]],store_clean[Store],store_clean[StoreType],"Not Found")</f>
        <v>a</v>
      </c>
    </row>
    <row r="207" spans="1:5" x14ac:dyDescent="0.2">
      <c r="A207">
        <v>206</v>
      </c>
      <c r="B207" s="1">
        <v>7157.5519897304239</v>
      </c>
      <c r="C207" s="1">
        <v>799.90500641848519</v>
      </c>
      <c r="D207">
        <f>ROUND(store_performance[[#This Row],[AverageSales]]/store_performance[[#This Row],[AverageCustomers]],2)</f>
        <v>8.9499999999999993</v>
      </c>
      <c r="E207" t="str">
        <f>_xlfn.XLOOKUP(store_performance[[#This Row],[Store]],store_clean[Store],store_clean[StoreType],"Not Found")</f>
        <v>a</v>
      </c>
    </row>
    <row r="208" spans="1:5" x14ac:dyDescent="0.2">
      <c r="A208">
        <v>207</v>
      </c>
      <c r="B208" s="1">
        <v>11184.206632653062</v>
      </c>
      <c r="C208" s="1">
        <v>1300.3813775510205</v>
      </c>
      <c r="D208">
        <f>ROUND(store_performance[[#This Row],[AverageSales]]/store_performance[[#This Row],[AverageCustomers]],2)</f>
        <v>8.6</v>
      </c>
      <c r="E208" t="str">
        <f>_xlfn.XLOOKUP(store_performance[[#This Row],[Store]],store_clean[Store],store_clean[StoreType],"Not Found")</f>
        <v>a</v>
      </c>
    </row>
    <row r="209" spans="1:5" x14ac:dyDescent="0.2">
      <c r="A209">
        <v>208</v>
      </c>
      <c r="B209" s="1">
        <v>2936.2908163265306</v>
      </c>
      <c r="C209" s="1">
        <v>413.47193877551018</v>
      </c>
      <c r="D209">
        <f>ROUND(store_performance[[#This Row],[AverageSales]]/store_performance[[#This Row],[AverageCustomers]],2)</f>
        <v>7.1</v>
      </c>
      <c r="E209" t="str">
        <f>_xlfn.XLOOKUP(store_performance[[#This Row],[Store]],store_clean[Store],store_clean[StoreType],"Not Found")</f>
        <v>c</v>
      </c>
    </row>
    <row r="210" spans="1:5" x14ac:dyDescent="0.2">
      <c r="A210">
        <v>209</v>
      </c>
      <c r="B210" s="1">
        <v>5587.7823129251701</v>
      </c>
      <c r="C210" s="1">
        <v>577.19160997732422</v>
      </c>
      <c r="D210">
        <f>ROUND(store_performance[[#This Row],[AverageSales]]/store_performance[[#This Row],[AverageCustomers]],2)</f>
        <v>9.68</v>
      </c>
      <c r="E210" t="str">
        <f>_xlfn.XLOOKUP(store_performance[[#This Row],[Store]],store_clean[Store],store_clean[StoreType],"Not Found")</f>
        <v>a</v>
      </c>
    </row>
    <row r="211" spans="1:5" x14ac:dyDescent="0.2">
      <c r="A211">
        <v>210</v>
      </c>
      <c r="B211" s="1">
        <v>3193.9845956354302</v>
      </c>
      <c r="C211" s="1">
        <v>326.25930680359437</v>
      </c>
      <c r="D211">
        <f>ROUND(store_performance[[#This Row],[AverageSales]]/store_performance[[#This Row],[AverageCustomers]],2)</f>
        <v>9.7899999999999991</v>
      </c>
      <c r="E211" t="str">
        <f>_xlfn.XLOOKUP(store_performance[[#This Row],[Store]],store_clean[Store],store_clean[StoreType],"Not Found")</f>
        <v>d</v>
      </c>
    </row>
    <row r="212" spans="1:5" x14ac:dyDescent="0.2">
      <c r="A212">
        <v>211</v>
      </c>
      <c r="B212" s="1">
        <v>12994.345663265307</v>
      </c>
      <c r="C212" s="1">
        <v>1485.8048469387754</v>
      </c>
      <c r="D212">
        <f>ROUND(store_performance[[#This Row],[AverageSales]]/store_performance[[#This Row],[AverageCustomers]],2)</f>
        <v>8.75</v>
      </c>
      <c r="E212" t="str">
        <f>_xlfn.XLOOKUP(store_performance[[#This Row],[Store]],store_clean[Store],store_clean[StoreType],"Not Found")</f>
        <v>a</v>
      </c>
    </row>
    <row r="213" spans="1:5" x14ac:dyDescent="0.2">
      <c r="A213">
        <v>212</v>
      </c>
      <c r="B213" s="1">
        <v>4775.6568877551017</v>
      </c>
      <c r="C213" s="1">
        <v>460.75765306122452</v>
      </c>
      <c r="D213">
        <f>ROUND(store_performance[[#This Row],[AverageSales]]/store_performance[[#This Row],[AverageCustomers]],2)</f>
        <v>10.36</v>
      </c>
      <c r="E213" t="str">
        <f>_xlfn.XLOOKUP(store_performance[[#This Row],[Store]],store_clean[Store],store_clean[StoreType],"Not Found")</f>
        <v>a</v>
      </c>
    </row>
    <row r="214" spans="1:5" x14ac:dyDescent="0.2">
      <c r="A214">
        <v>213</v>
      </c>
      <c r="B214" s="1">
        <v>8131.0410783055195</v>
      </c>
      <c r="C214" s="1">
        <v>652.66623876765084</v>
      </c>
      <c r="D214">
        <f>ROUND(store_performance[[#This Row],[AverageSales]]/store_performance[[#This Row],[AverageCustomers]],2)</f>
        <v>12.46</v>
      </c>
      <c r="E214" t="str">
        <f>_xlfn.XLOOKUP(store_performance[[#This Row],[Store]],store_clean[Store],store_clean[StoreType],"Not Found")</f>
        <v>d</v>
      </c>
    </row>
    <row r="215" spans="1:5" x14ac:dyDescent="0.2">
      <c r="A215">
        <v>214</v>
      </c>
      <c r="B215" s="1">
        <v>9331.8754813863925</v>
      </c>
      <c r="C215" s="1">
        <v>715.45057766367142</v>
      </c>
      <c r="D215">
        <f>ROUND(store_performance[[#This Row],[AverageSales]]/store_performance[[#This Row],[AverageCustomers]],2)</f>
        <v>13.04</v>
      </c>
      <c r="E215" t="str">
        <f>_xlfn.XLOOKUP(store_performance[[#This Row],[Store]],store_clean[Store],store_clean[StoreType],"Not Found")</f>
        <v>d</v>
      </c>
    </row>
    <row r="216" spans="1:5" x14ac:dyDescent="0.2">
      <c r="A216">
        <v>215</v>
      </c>
      <c r="B216" s="1">
        <v>6313.492753623188</v>
      </c>
      <c r="C216" s="1">
        <v>490.28341384863126</v>
      </c>
      <c r="D216">
        <f>ROUND(store_performance[[#This Row],[AverageSales]]/store_performance[[#This Row],[AverageCustomers]],2)</f>
        <v>12.88</v>
      </c>
      <c r="E216" t="str">
        <f>_xlfn.XLOOKUP(store_performance[[#This Row],[Store]],store_clean[Store],store_clean[StoreType],"Not Found")</f>
        <v>d</v>
      </c>
    </row>
    <row r="217" spans="1:5" x14ac:dyDescent="0.2">
      <c r="A217">
        <v>216</v>
      </c>
      <c r="B217" s="1">
        <v>7226.7757731958764</v>
      </c>
      <c r="C217" s="1">
        <v>887.67268041237116</v>
      </c>
      <c r="D217">
        <f>ROUND(store_performance[[#This Row],[AverageSales]]/store_performance[[#This Row],[AverageCustomers]],2)</f>
        <v>8.14</v>
      </c>
      <c r="E217" t="str">
        <f>_xlfn.XLOOKUP(store_performance[[#This Row],[Store]],store_clean[Store],store_clean[StoreType],"Not Found")</f>
        <v>c</v>
      </c>
    </row>
    <row r="218" spans="1:5" x14ac:dyDescent="0.2">
      <c r="A218">
        <v>217</v>
      </c>
      <c r="B218" s="1">
        <v>4700.8877551020405</v>
      </c>
      <c r="C218" s="1">
        <v>642.88010204081638</v>
      </c>
      <c r="D218">
        <f>ROUND(store_performance[[#This Row],[AverageSales]]/store_performance[[#This Row],[AverageCustomers]],2)</f>
        <v>7.31</v>
      </c>
      <c r="E218" t="str">
        <f>_xlfn.XLOOKUP(store_performance[[#This Row],[Store]],store_clean[Store],store_clean[StoreType],"Not Found")</f>
        <v>c</v>
      </c>
    </row>
    <row r="219" spans="1:5" x14ac:dyDescent="0.2">
      <c r="A219">
        <v>218</v>
      </c>
      <c r="B219" s="1">
        <v>5018.5771704180061</v>
      </c>
      <c r="C219" s="1">
        <v>696.39871382636659</v>
      </c>
      <c r="D219">
        <f>ROUND(store_performance[[#This Row],[AverageSales]]/store_performance[[#This Row],[AverageCustomers]],2)</f>
        <v>7.21</v>
      </c>
      <c r="E219" t="str">
        <f>_xlfn.XLOOKUP(store_performance[[#This Row],[Store]],store_clean[Store],store_clean[StoreType],"Not Found")</f>
        <v>a</v>
      </c>
    </row>
    <row r="220" spans="1:5" x14ac:dyDescent="0.2">
      <c r="A220">
        <v>219</v>
      </c>
      <c r="B220" s="1">
        <v>3133.7124518613609</v>
      </c>
      <c r="C220" s="1">
        <v>406.44415917843389</v>
      </c>
      <c r="D220">
        <f>ROUND(store_performance[[#This Row],[AverageSales]]/store_performance[[#This Row],[AverageCustomers]],2)</f>
        <v>7.71</v>
      </c>
      <c r="E220" t="str">
        <f>_xlfn.XLOOKUP(store_performance[[#This Row],[Store]],store_clean[Store],store_clean[StoreType],"Not Found")</f>
        <v>a</v>
      </c>
    </row>
    <row r="221" spans="1:5" x14ac:dyDescent="0.2">
      <c r="A221">
        <v>220</v>
      </c>
      <c r="B221" s="1">
        <v>4906.432989690722</v>
      </c>
      <c r="C221" s="1">
        <v>644.62371134020623</v>
      </c>
      <c r="D221">
        <f>ROUND(store_performance[[#This Row],[AverageSales]]/store_performance[[#This Row],[AverageCustomers]],2)</f>
        <v>7.61</v>
      </c>
      <c r="E221" t="str">
        <f>_xlfn.XLOOKUP(store_performance[[#This Row],[Store]],store_clean[Store],store_clean[StoreType],"Not Found")</f>
        <v>a</v>
      </c>
    </row>
    <row r="222" spans="1:5" x14ac:dyDescent="0.2">
      <c r="A222">
        <v>221</v>
      </c>
      <c r="B222" s="1">
        <v>5821.8380102040819</v>
      </c>
      <c r="C222" s="1">
        <v>552.75</v>
      </c>
      <c r="D222">
        <f>ROUND(store_performance[[#This Row],[AverageSales]]/store_performance[[#This Row],[AverageCustomers]],2)</f>
        <v>10.53</v>
      </c>
      <c r="E222" t="str">
        <f>_xlfn.XLOOKUP(store_performance[[#This Row],[Store]],store_clean[Store],store_clean[StoreType],"Not Found")</f>
        <v>d</v>
      </c>
    </row>
    <row r="223" spans="1:5" x14ac:dyDescent="0.2">
      <c r="A223">
        <v>222</v>
      </c>
      <c r="B223" s="1">
        <v>4982.4566326530612</v>
      </c>
      <c r="C223" s="1">
        <v>561.5637755102041</v>
      </c>
      <c r="D223">
        <f>ROUND(store_performance[[#This Row],[AverageSales]]/store_performance[[#This Row],[AverageCustomers]],2)</f>
        <v>8.8699999999999992</v>
      </c>
      <c r="E223" t="str">
        <f>_xlfn.XLOOKUP(store_performance[[#This Row],[Store]],store_clean[Store],store_clean[StoreType],"Not Found")</f>
        <v>a</v>
      </c>
    </row>
    <row r="224" spans="1:5" x14ac:dyDescent="0.2">
      <c r="A224">
        <v>223</v>
      </c>
      <c r="B224" s="1">
        <v>7232.8759590792843</v>
      </c>
      <c r="C224" s="1">
        <v>738.71611253196932</v>
      </c>
      <c r="D224">
        <f>ROUND(store_performance[[#This Row],[AverageSales]]/store_performance[[#This Row],[AverageCustomers]],2)</f>
        <v>9.7899999999999991</v>
      </c>
      <c r="E224" t="str">
        <f>_xlfn.XLOOKUP(store_performance[[#This Row],[Store]],store_clean[Store],store_clean[StoreType],"Not Found")</f>
        <v>d</v>
      </c>
    </row>
    <row r="225" spans="1:5" x14ac:dyDescent="0.2">
      <c r="A225">
        <v>224</v>
      </c>
      <c r="B225" s="1">
        <v>6629.7490347490348</v>
      </c>
      <c r="C225" s="1">
        <v>478.66023166023166</v>
      </c>
      <c r="D225">
        <f>ROUND(store_performance[[#This Row],[AverageSales]]/store_performance[[#This Row],[AverageCustomers]],2)</f>
        <v>13.85</v>
      </c>
      <c r="E225" t="str">
        <f>_xlfn.XLOOKUP(store_performance[[#This Row],[Store]],store_clean[Store],store_clean[StoreType],"Not Found")</f>
        <v>d</v>
      </c>
    </row>
    <row r="226" spans="1:5" x14ac:dyDescent="0.2">
      <c r="A226">
        <v>225</v>
      </c>
      <c r="B226" s="1">
        <v>5197</v>
      </c>
      <c r="C226" s="1">
        <v>556.32608695652175</v>
      </c>
      <c r="D226">
        <f>ROUND(store_performance[[#This Row],[AverageSales]]/store_performance[[#This Row],[AverageCustomers]],2)</f>
        <v>9.34</v>
      </c>
      <c r="E226" t="str">
        <f>_xlfn.XLOOKUP(store_performance[[#This Row],[Store]],store_clean[Store],store_clean[StoreType],"Not Found")</f>
        <v>d</v>
      </c>
    </row>
    <row r="227" spans="1:5" x14ac:dyDescent="0.2">
      <c r="A227">
        <v>226</v>
      </c>
      <c r="B227" s="1">
        <v>7257.2906530089631</v>
      </c>
      <c r="C227" s="1">
        <v>703.01152368758005</v>
      </c>
      <c r="D227">
        <f>ROUND(store_performance[[#This Row],[AverageSales]]/store_performance[[#This Row],[AverageCustomers]],2)</f>
        <v>10.32</v>
      </c>
      <c r="E227" t="str">
        <f>_xlfn.XLOOKUP(store_performance[[#This Row],[Store]],store_clean[Store],store_clean[StoreType],"Not Found")</f>
        <v>a</v>
      </c>
    </row>
    <row r="228" spans="1:5" x14ac:dyDescent="0.2">
      <c r="A228">
        <v>227</v>
      </c>
      <c r="B228" s="1">
        <v>6020.447916666667</v>
      </c>
      <c r="C228" s="1">
        <v>561.15625</v>
      </c>
      <c r="D228">
        <f>ROUND(store_performance[[#This Row],[AverageSales]]/store_performance[[#This Row],[AverageCustomers]],2)</f>
        <v>10.73</v>
      </c>
      <c r="E228" t="str">
        <f>_xlfn.XLOOKUP(store_performance[[#This Row],[Store]],store_clean[Store],store_clean[StoreType],"Not Found")</f>
        <v>a</v>
      </c>
    </row>
    <row r="229" spans="1:5" x14ac:dyDescent="0.2">
      <c r="A229">
        <v>228</v>
      </c>
      <c r="B229" s="1">
        <v>7946.1399229781773</v>
      </c>
      <c r="C229" s="1">
        <v>593.11681643132226</v>
      </c>
      <c r="D229">
        <f>ROUND(store_performance[[#This Row],[AverageSales]]/store_performance[[#This Row],[AverageCustomers]],2)</f>
        <v>13.4</v>
      </c>
      <c r="E229" t="str">
        <f>_xlfn.XLOOKUP(store_performance[[#This Row],[Store]],store_clean[Store],store_clean[StoreType],"Not Found")</f>
        <v>d</v>
      </c>
    </row>
    <row r="230" spans="1:5" x14ac:dyDescent="0.2">
      <c r="A230">
        <v>229</v>
      </c>
      <c r="B230" s="1">
        <v>8645.3632862644408</v>
      </c>
      <c r="C230" s="1">
        <v>734.25160462130941</v>
      </c>
      <c r="D230">
        <f>ROUND(store_performance[[#This Row],[AverageSales]]/store_performance[[#This Row],[AverageCustomers]],2)</f>
        <v>11.77</v>
      </c>
      <c r="E230" t="str">
        <f>_xlfn.XLOOKUP(store_performance[[#This Row],[Store]],store_clean[Store],store_clean[StoreType],"Not Found")</f>
        <v>d</v>
      </c>
    </row>
    <row r="231" spans="1:5" x14ac:dyDescent="0.2">
      <c r="A231">
        <v>230</v>
      </c>
      <c r="B231" s="1">
        <v>7561.6403061224491</v>
      </c>
      <c r="C231" s="1">
        <v>940.22704081632651</v>
      </c>
      <c r="D231">
        <f>ROUND(store_performance[[#This Row],[AverageSales]]/store_performance[[#This Row],[AverageCustomers]],2)</f>
        <v>8.0399999999999991</v>
      </c>
      <c r="E231" t="str">
        <f>_xlfn.XLOOKUP(store_performance[[#This Row],[Store]],store_clean[Store],store_clean[StoreType],"Not Found")</f>
        <v>d</v>
      </c>
    </row>
    <row r="232" spans="1:5" x14ac:dyDescent="0.2">
      <c r="A232">
        <v>231</v>
      </c>
      <c r="B232" s="1">
        <v>4770.2797427652731</v>
      </c>
      <c r="C232" s="1">
        <v>394.50160771704179</v>
      </c>
      <c r="D232">
        <f>ROUND(store_performance[[#This Row],[AverageSales]]/store_performance[[#This Row],[AverageCustomers]],2)</f>
        <v>12.09</v>
      </c>
      <c r="E232" t="str">
        <f>_xlfn.XLOOKUP(store_performance[[#This Row],[Store]],store_clean[Store],store_clean[StoreType],"Not Found")</f>
        <v>d</v>
      </c>
    </row>
    <row r="233" spans="1:5" x14ac:dyDescent="0.2">
      <c r="A233">
        <v>232</v>
      </c>
      <c r="B233" s="1">
        <v>3372.3511749347258</v>
      </c>
      <c r="C233" s="1">
        <v>303.83550913838121</v>
      </c>
      <c r="D233">
        <f>ROUND(store_performance[[#This Row],[AverageSales]]/store_performance[[#This Row],[AverageCustomers]],2)</f>
        <v>11.1</v>
      </c>
      <c r="E233" t="str">
        <f>_xlfn.XLOOKUP(store_performance[[#This Row],[Store]],store_clean[Store],store_clean[StoreType],"Not Found")</f>
        <v>c</v>
      </c>
    </row>
    <row r="234" spans="1:5" x14ac:dyDescent="0.2">
      <c r="A234">
        <v>233</v>
      </c>
      <c r="B234" s="1">
        <v>9431.0896286811785</v>
      </c>
      <c r="C234" s="1">
        <v>1031.6658130601793</v>
      </c>
      <c r="D234">
        <f>ROUND(store_performance[[#This Row],[AverageSales]]/store_performance[[#This Row],[AverageCustomers]],2)</f>
        <v>9.14</v>
      </c>
      <c r="E234" t="str">
        <f>_xlfn.XLOOKUP(store_performance[[#This Row],[Store]],store_clean[Store],store_clean[StoreType],"Not Found")</f>
        <v>a</v>
      </c>
    </row>
    <row r="235" spans="1:5" x14ac:dyDescent="0.2">
      <c r="A235">
        <v>234</v>
      </c>
      <c r="B235" s="1">
        <v>11072.315789473685</v>
      </c>
      <c r="C235" s="1">
        <v>1024.7214377406931</v>
      </c>
      <c r="D235">
        <f>ROUND(store_performance[[#This Row],[AverageSales]]/store_performance[[#This Row],[AverageCustomers]],2)</f>
        <v>10.81</v>
      </c>
      <c r="E235" t="str">
        <f>_xlfn.XLOOKUP(store_performance[[#This Row],[Store]],store_clean[Store],store_clean[StoreType],"Not Found")</f>
        <v>d</v>
      </c>
    </row>
    <row r="236" spans="1:5" x14ac:dyDescent="0.2">
      <c r="A236">
        <v>235</v>
      </c>
      <c r="B236" s="1">
        <v>5935.4481434058898</v>
      </c>
      <c r="C236" s="1">
        <v>501.12932138284253</v>
      </c>
      <c r="D236">
        <f>ROUND(store_performance[[#This Row],[AverageSales]]/store_performance[[#This Row],[AverageCustomers]],2)</f>
        <v>11.84</v>
      </c>
      <c r="E236" t="str">
        <f>_xlfn.XLOOKUP(store_performance[[#This Row],[Store]],store_clean[Store],store_clean[StoreType],"Not Found")</f>
        <v>a</v>
      </c>
    </row>
    <row r="237" spans="1:5" x14ac:dyDescent="0.2">
      <c r="A237">
        <v>236</v>
      </c>
      <c r="B237" s="1">
        <v>7119.5637755102043</v>
      </c>
      <c r="C237" s="1">
        <v>864.78826530612241</v>
      </c>
      <c r="D237">
        <f>ROUND(store_performance[[#This Row],[AverageSales]]/store_performance[[#This Row],[AverageCustomers]],2)</f>
        <v>8.23</v>
      </c>
      <c r="E237" t="str">
        <f>_xlfn.XLOOKUP(store_performance[[#This Row],[Store]],store_clean[Store],store_clean[StoreType],"Not Found")</f>
        <v>a</v>
      </c>
    </row>
    <row r="238" spans="1:5" x14ac:dyDescent="0.2">
      <c r="A238">
        <v>237</v>
      </c>
      <c r="B238" s="1">
        <v>4535.9910714285716</v>
      </c>
      <c r="C238" s="1">
        <v>574.73086734693879</v>
      </c>
      <c r="D238">
        <f>ROUND(store_performance[[#This Row],[AverageSales]]/store_performance[[#This Row],[AverageCustomers]],2)</f>
        <v>7.89</v>
      </c>
      <c r="E238" t="str">
        <f>_xlfn.XLOOKUP(store_performance[[#This Row],[Store]],store_clean[Store],store_clean[StoreType],"Not Found")</f>
        <v>a</v>
      </c>
    </row>
    <row r="239" spans="1:5" x14ac:dyDescent="0.2">
      <c r="A239">
        <v>238</v>
      </c>
      <c r="B239" s="1">
        <v>7661.718015665796</v>
      </c>
      <c r="C239" s="1">
        <v>1101.3577023498694</v>
      </c>
      <c r="D239">
        <f>ROUND(store_performance[[#This Row],[AverageSales]]/store_performance[[#This Row],[AverageCustomers]],2)</f>
        <v>6.96</v>
      </c>
      <c r="E239" t="str">
        <f>_xlfn.XLOOKUP(store_performance[[#This Row],[Store]],store_clean[Store],store_clean[StoreType],"Not Found")</f>
        <v>a</v>
      </c>
    </row>
    <row r="240" spans="1:5" x14ac:dyDescent="0.2">
      <c r="A240">
        <v>239</v>
      </c>
      <c r="B240" s="1">
        <v>5071.2105263157891</v>
      </c>
      <c r="C240" s="1">
        <v>472.06803594351732</v>
      </c>
      <c r="D240">
        <f>ROUND(store_performance[[#This Row],[AverageSales]]/store_performance[[#This Row],[AverageCustomers]],2)</f>
        <v>10.74</v>
      </c>
      <c r="E240" t="str">
        <f>_xlfn.XLOOKUP(store_performance[[#This Row],[Store]],store_clean[Store],store_clean[StoreType],"Not Found")</f>
        <v>d</v>
      </c>
    </row>
    <row r="241" spans="1:5" x14ac:dyDescent="0.2">
      <c r="A241">
        <v>240</v>
      </c>
      <c r="B241" s="1">
        <v>4812.0357142857147</v>
      </c>
      <c r="C241" s="1">
        <v>459.75382653061223</v>
      </c>
      <c r="D241">
        <f>ROUND(store_performance[[#This Row],[AverageSales]]/store_performance[[#This Row],[AverageCustomers]],2)</f>
        <v>10.47</v>
      </c>
      <c r="E241" t="str">
        <f>_xlfn.XLOOKUP(store_performance[[#This Row],[Store]],store_clean[Store],store_clean[StoreType],"Not Found")</f>
        <v>a</v>
      </c>
    </row>
    <row r="242" spans="1:5" x14ac:dyDescent="0.2">
      <c r="A242">
        <v>241</v>
      </c>
      <c r="B242" s="1">
        <v>6583.2272143774071</v>
      </c>
      <c r="C242" s="1">
        <v>704.71887034659824</v>
      </c>
      <c r="D242">
        <f>ROUND(store_performance[[#This Row],[AverageSales]]/store_performance[[#This Row],[AverageCustomers]],2)</f>
        <v>9.34</v>
      </c>
      <c r="E242" t="str">
        <f>_xlfn.XLOOKUP(store_performance[[#This Row],[Store]],store_clean[Store],store_clean[StoreType],"Not Found")</f>
        <v>d</v>
      </c>
    </row>
    <row r="243" spans="1:5" x14ac:dyDescent="0.2">
      <c r="A243">
        <v>242</v>
      </c>
      <c r="B243" s="1">
        <v>4093.0947503201023</v>
      </c>
      <c r="C243" s="1">
        <v>365.84635083226635</v>
      </c>
      <c r="D243">
        <f>ROUND(store_performance[[#This Row],[AverageSales]]/store_performance[[#This Row],[AverageCustomers]],2)</f>
        <v>11.19</v>
      </c>
      <c r="E243" t="str">
        <f>_xlfn.XLOOKUP(store_performance[[#This Row],[Store]],store_clean[Store],store_clean[StoreType],"Not Found")</f>
        <v>d</v>
      </c>
    </row>
    <row r="244" spans="1:5" x14ac:dyDescent="0.2">
      <c r="A244">
        <v>243</v>
      </c>
      <c r="B244" s="1">
        <v>7074.0706260032102</v>
      </c>
      <c r="C244" s="1">
        <v>953.46709470304972</v>
      </c>
      <c r="D244">
        <f>ROUND(store_performance[[#This Row],[AverageSales]]/store_performance[[#This Row],[AverageCustomers]],2)</f>
        <v>7.42</v>
      </c>
      <c r="E244" t="str">
        <f>_xlfn.XLOOKUP(store_performance[[#This Row],[Store]],store_clean[Store],store_clean[StoreType],"Not Found")</f>
        <v>a</v>
      </c>
    </row>
    <row r="245" spans="1:5" x14ac:dyDescent="0.2">
      <c r="A245">
        <v>244</v>
      </c>
      <c r="B245" s="1">
        <v>5271.0988446726569</v>
      </c>
      <c r="C245" s="1">
        <v>540.34274711168166</v>
      </c>
      <c r="D245">
        <f>ROUND(store_performance[[#This Row],[AverageSales]]/store_performance[[#This Row],[AverageCustomers]],2)</f>
        <v>9.76</v>
      </c>
      <c r="E245" t="str">
        <f>_xlfn.XLOOKUP(store_performance[[#This Row],[Store]],store_clean[Store],store_clean[StoreType],"Not Found")</f>
        <v>d</v>
      </c>
    </row>
    <row r="246" spans="1:5" x14ac:dyDescent="0.2">
      <c r="A246">
        <v>245</v>
      </c>
      <c r="B246" s="1">
        <v>8897.6632522407162</v>
      </c>
      <c r="C246" s="1">
        <v>1020.7567221510883</v>
      </c>
      <c r="D246">
        <f>ROUND(store_performance[[#This Row],[AverageSales]]/store_performance[[#This Row],[AverageCustomers]],2)</f>
        <v>8.7200000000000006</v>
      </c>
      <c r="E246" t="str">
        <f>_xlfn.XLOOKUP(store_performance[[#This Row],[Store]],store_clean[Store],store_clean[StoreType],"Not Found")</f>
        <v>a</v>
      </c>
    </row>
    <row r="247" spans="1:5" x14ac:dyDescent="0.2">
      <c r="A247">
        <v>246</v>
      </c>
      <c r="B247" s="1">
        <v>7081.0548469387759</v>
      </c>
      <c r="C247" s="1">
        <v>937.29974489795916</v>
      </c>
      <c r="D247">
        <f>ROUND(store_performance[[#This Row],[AverageSales]]/store_performance[[#This Row],[AverageCustomers]],2)</f>
        <v>7.55</v>
      </c>
      <c r="E247" t="str">
        <f>_xlfn.XLOOKUP(store_performance[[#This Row],[Store]],store_clean[Store],store_clean[StoreType],"Not Found")</f>
        <v>c</v>
      </c>
    </row>
    <row r="248" spans="1:5" x14ac:dyDescent="0.2">
      <c r="A248">
        <v>247</v>
      </c>
      <c r="B248" s="1">
        <v>8576.7106274007674</v>
      </c>
      <c r="C248" s="1">
        <v>683.96670934699102</v>
      </c>
      <c r="D248">
        <f>ROUND(store_performance[[#This Row],[AverageSales]]/store_performance[[#This Row],[AverageCustomers]],2)</f>
        <v>12.54</v>
      </c>
      <c r="E248" t="str">
        <f>_xlfn.XLOOKUP(store_performance[[#This Row],[Store]],store_clean[Store],store_clean[StoreType],"Not Found")</f>
        <v>d</v>
      </c>
    </row>
    <row r="249" spans="1:5" x14ac:dyDescent="0.2">
      <c r="A249">
        <v>248</v>
      </c>
      <c r="B249" s="1">
        <v>8362.1709183673465</v>
      </c>
      <c r="C249" s="1">
        <v>1112.5357142857142</v>
      </c>
      <c r="D249">
        <f>ROUND(store_performance[[#This Row],[AverageSales]]/store_performance[[#This Row],[AverageCustomers]],2)</f>
        <v>7.52</v>
      </c>
      <c r="E249" t="str">
        <f>_xlfn.XLOOKUP(store_performance[[#This Row],[Store]],store_clean[Store],store_clean[StoreType],"Not Found")</f>
        <v>a</v>
      </c>
    </row>
    <row r="250" spans="1:5" x14ac:dyDescent="0.2">
      <c r="A250">
        <v>249</v>
      </c>
      <c r="B250" s="1">
        <v>5285.8239795918371</v>
      </c>
      <c r="C250" s="1">
        <v>537.73469387755097</v>
      </c>
      <c r="D250">
        <f>ROUND(store_performance[[#This Row],[AverageSales]]/store_performance[[#This Row],[AverageCustomers]],2)</f>
        <v>9.83</v>
      </c>
      <c r="E250" t="str">
        <f>_xlfn.XLOOKUP(store_performance[[#This Row],[Store]],store_clean[Store],store_clean[StoreType],"Not Found")</f>
        <v>d</v>
      </c>
    </row>
    <row r="251" spans="1:5" x14ac:dyDescent="0.2">
      <c r="A251">
        <v>250</v>
      </c>
      <c r="B251" s="1">
        <v>8470.6235595390517</v>
      </c>
      <c r="C251" s="1">
        <v>657.93854033290654</v>
      </c>
      <c r="D251">
        <f>ROUND(store_performance[[#This Row],[AverageSales]]/store_performance[[#This Row],[AverageCustomers]],2)</f>
        <v>12.87</v>
      </c>
      <c r="E251" t="str">
        <f>_xlfn.XLOOKUP(store_performance[[#This Row],[Store]],store_clean[Store],store_clean[StoreType],"Not Found")</f>
        <v>d</v>
      </c>
    </row>
    <row r="252" spans="1:5" x14ac:dyDescent="0.2">
      <c r="A252">
        <v>251</v>
      </c>
      <c r="B252" s="1">
        <v>19123.068035943517</v>
      </c>
      <c r="C252" s="1">
        <v>2450.4929396662387</v>
      </c>
      <c r="D252">
        <f>ROUND(store_performance[[#This Row],[AverageSales]]/store_performance[[#This Row],[AverageCustomers]],2)</f>
        <v>7.8</v>
      </c>
      <c r="E252" t="str">
        <f>_xlfn.XLOOKUP(store_performance[[#This Row],[Store]],store_clean[Store],store_clean[StoreType],"Not Found")</f>
        <v>a</v>
      </c>
    </row>
    <row r="253" spans="1:5" x14ac:dyDescent="0.2">
      <c r="A253">
        <v>252</v>
      </c>
      <c r="B253" s="1">
        <v>10615.512195121952</v>
      </c>
      <c r="C253" s="1">
        <v>809.63029525032096</v>
      </c>
      <c r="D253">
        <f>ROUND(store_performance[[#This Row],[AverageSales]]/store_performance[[#This Row],[AverageCustomers]],2)</f>
        <v>13.11</v>
      </c>
      <c r="E253" t="str">
        <f>_xlfn.XLOOKUP(store_performance[[#This Row],[Store]],store_clean[Store],store_clean[StoreType],"Not Found")</f>
        <v>d</v>
      </c>
    </row>
    <row r="254" spans="1:5" x14ac:dyDescent="0.2">
      <c r="A254">
        <v>253</v>
      </c>
      <c r="B254" s="1">
        <v>5746.7240051347881</v>
      </c>
      <c r="C254" s="1">
        <v>690.71373555840819</v>
      </c>
      <c r="D254">
        <f>ROUND(store_performance[[#This Row],[AverageSales]]/store_performance[[#This Row],[AverageCustomers]],2)</f>
        <v>8.32</v>
      </c>
      <c r="E254" t="str">
        <f>_xlfn.XLOOKUP(store_performance[[#This Row],[Store]],store_clean[Store],store_clean[StoreType],"Not Found")</f>
        <v>a</v>
      </c>
    </row>
    <row r="255" spans="1:5" x14ac:dyDescent="0.2">
      <c r="A255">
        <v>254</v>
      </c>
      <c r="B255" s="1">
        <v>3005.9833119383825</v>
      </c>
      <c r="C255" s="1">
        <v>258.6739409499358</v>
      </c>
      <c r="D255">
        <f>ROUND(store_performance[[#This Row],[AverageSales]]/store_performance[[#This Row],[AverageCustomers]],2)</f>
        <v>11.62</v>
      </c>
      <c r="E255" t="str">
        <f>_xlfn.XLOOKUP(store_performance[[#This Row],[Store]],store_clean[Store],store_clean[StoreType],"Not Found")</f>
        <v>d</v>
      </c>
    </row>
    <row r="256" spans="1:5" x14ac:dyDescent="0.2">
      <c r="A256">
        <v>255</v>
      </c>
      <c r="B256" s="1">
        <v>6271.1309370988447</v>
      </c>
      <c r="C256" s="1">
        <v>640.36328626444163</v>
      </c>
      <c r="D256">
        <f>ROUND(store_performance[[#This Row],[AverageSales]]/store_performance[[#This Row],[AverageCustomers]],2)</f>
        <v>9.7899999999999991</v>
      </c>
      <c r="E256" t="str">
        <f>_xlfn.XLOOKUP(store_performance[[#This Row],[Store]],store_clean[Store],store_clean[StoreType],"Not Found")</f>
        <v>c</v>
      </c>
    </row>
    <row r="257" spans="1:5" x14ac:dyDescent="0.2">
      <c r="A257">
        <v>256</v>
      </c>
      <c r="B257" s="1">
        <v>9832.8788659793809</v>
      </c>
      <c r="C257" s="1">
        <v>1247.194587628866</v>
      </c>
      <c r="D257">
        <f>ROUND(store_performance[[#This Row],[AverageSales]]/store_performance[[#This Row],[AverageCustomers]],2)</f>
        <v>7.88</v>
      </c>
      <c r="E257" t="str">
        <f>_xlfn.XLOOKUP(store_performance[[#This Row],[Store]],store_clean[Store],store_clean[StoreType],"Not Found")</f>
        <v>a</v>
      </c>
    </row>
    <row r="258" spans="1:5" x14ac:dyDescent="0.2">
      <c r="A258">
        <v>257</v>
      </c>
      <c r="B258" s="1">
        <v>5335.5854591836733</v>
      </c>
      <c r="C258" s="1">
        <v>632.01020408163265</v>
      </c>
      <c r="D258">
        <f>ROUND(store_performance[[#This Row],[AverageSales]]/store_performance[[#This Row],[AverageCustomers]],2)</f>
        <v>8.44</v>
      </c>
      <c r="E258" t="str">
        <f>_xlfn.XLOOKUP(store_performance[[#This Row],[Store]],store_clean[Store],store_clean[StoreType],"Not Found")</f>
        <v>a</v>
      </c>
    </row>
    <row r="259" spans="1:5" x14ac:dyDescent="0.2">
      <c r="A259">
        <v>258</v>
      </c>
      <c r="B259" s="1">
        <v>5642.096463022508</v>
      </c>
      <c r="C259" s="1">
        <v>493.88585209003213</v>
      </c>
      <c r="D259">
        <f>ROUND(store_performance[[#This Row],[AverageSales]]/store_performance[[#This Row],[AverageCustomers]],2)</f>
        <v>11.42</v>
      </c>
      <c r="E259" t="str">
        <f>_xlfn.XLOOKUP(store_performance[[#This Row],[Store]],store_clean[Store],store_clean[StoreType],"Not Found")</f>
        <v>a</v>
      </c>
    </row>
    <row r="260" spans="1:5" x14ac:dyDescent="0.2">
      <c r="A260">
        <v>259</v>
      </c>
      <c r="B260" s="1">
        <v>11643.638412017168</v>
      </c>
      <c r="C260" s="1">
        <v>2372.2961373390558</v>
      </c>
      <c r="D260">
        <f>ROUND(store_performance[[#This Row],[AverageSales]]/store_performance[[#This Row],[AverageCustomers]],2)</f>
        <v>4.91</v>
      </c>
      <c r="E260" t="str">
        <f>_xlfn.XLOOKUP(store_performance[[#This Row],[Store]],store_clean[Store],store_clean[StoreType],"Not Found")</f>
        <v>b</v>
      </c>
    </row>
    <row r="261" spans="1:5" x14ac:dyDescent="0.2">
      <c r="A261">
        <v>260</v>
      </c>
      <c r="B261" s="1">
        <v>6559.9974489795923</v>
      </c>
      <c r="C261" s="1">
        <v>911.44897959183675</v>
      </c>
      <c r="D261">
        <f>ROUND(store_performance[[#This Row],[AverageSales]]/store_performance[[#This Row],[AverageCustomers]],2)</f>
        <v>7.2</v>
      </c>
      <c r="E261" t="str">
        <f>_xlfn.XLOOKUP(store_performance[[#This Row],[Store]],store_clean[Store],store_clean[StoreType],"Not Found")</f>
        <v>a</v>
      </c>
    </row>
    <row r="262" spans="1:5" x14ac:dyDescent="0.2">
      <c r="A262">
        <v>261</v>
      </c>
      <c r="B262" s="1">
        <v>12616.487804878048</v>
      </c>
      <c r="C262" s="1">
        <v>948.93453145057765</v>
      </c>
      <c r="D262">
        <f>ROUND(store_performance[[#This Row],[AverageSales]]/store_performance[[#This Row],[AverageCustomers]],2)</f>
        <v>13.3</v>
      </c>
      <c r="E262" t="str">
        <f>_xlfn.XLOOKUP(store_performance[[#This Row],[Store]],store_clean[Store],store_clean[StoreType],"Not Found")</f>
        <v>d</v>
      </c>
    </row>
    <row r="263" spans="1:5" x14ac:dyDescent="0.2">
      <c r="A263">
        <v>262</v>
      </c>
      <c r="B263" s="1">
        <v>20718.51592356688</v>
      </c>
      <c r="C263" s="1">
        <v>3402.0106157112527</v>
      </c>
      <c r="D263">
        <f>ROUND(store_performance[[#This Row],[AverageSales]]/store_performance[[#This Row],[AverageCustomers]],2)</f>
        <v>6.09</v>
      </c>
      <c r="E263" t="str">
        <f>_xlfn.XLOOKUP(store_performance[[#This Row],[Store]],store_clean[Store],store_clean[StoreType],"Not Found")</f>
        <v>b</v>
      </c>
    </row>
    <row r="264" spans="1:5" x14ac:dyDescent="0.2">
      <c r="A264">
        <v>263</v>
      </c>
      <c r="B264" s="1">
        <v>3707.5160771704182</v>
      </c>
      <c r="C264" s="1">
        <v>355.85530546623795</v>
      </c>
      <c r="D264">
        <f>ROUND(store_performance[[#This Row],[AverageSales]]/store_performance[[#This Row],[AverageCustomers]],2)</f>
        <v>10.42</v>
      </c>
      <c r="E264" t="str">
        <f>_xlfn.XLOOKUP(store_performance[[#This Row],[Store]],store_clean[Store],store_clean[StoreType],"Not Found")</f>
        <v>a</v>
      </c>
    </row>
    <row r="265" spans="1:5" x14ac:dyDescent="0.2">
      <c r="A265">
        <v>264</v>
      </c>
      <c r="B265" s="1">
        <v>7234.2401574803152</v>
      </c>
      <c r="C265" s="1">
        <v>954.37532808398953</v>
      </c>
      <c r="D265">
        <f>ROUND(store_performance[[#This Row],[AverageSales]]/store_performance[[#This Row],[AverageCustomers]],2)</f>
        <v>7.58</v>
      </c>
      <c r="E265" t="str">
        <f>_xlfn.XLOOKUP(store_performance[[#This Row],[Store]],store_clean[Store],store_clean[StoreType],"Not Found")</f>
        <v>a</v>
      </c>
    </row>
    <row r="266" spans="1:5" x14ac:dyDescent="0.2">
      <c r="A266">
        <v>265</v>
      </c>
      <c r="B266" s="1">
        <v>4954.8292682926831</v>
      </c>
      <c r="C266" s="1">
        <v>503.25545571245186</v>
      </c>
      <c r="D266">
        <f>ROUND(store_performance[[#This Row],[AverageSales]]/store_performance[[#This Row],[AverageCustomers]],2)</f>
        <v>9.85</v>
      </c>
      <c r="E266" t="str">
        <f>_xlfn.XLOOKUP(store_performance[[#This Row],[Store]],store_clean[Store],store_clean[StoreType],"Not Found")</f>
        <v>a</v>
      </c>
    </row>
    <row r="267" spans="1:5" x14ac:dyDescent="0.2">
      <c r="A267">
        <v>266</v>
      </c>
      <c r="B267" s="1">
        <v>4389.7576923076922</v>
      </c>
      <c r="C267" s="1">
        <v>531.38846153846157</v>
      </c>
      <c r="D267">
        <f>ROUND(store_performance[[#This Row],[AverageSales]]/store_performance[[#This Row],[AverageCustomers]],2)</f>
        <v>8.26</v>
      </c>
      <c r="E267" t="str">
        <f>_xlfn.XLOOKUP(store_performance[[#This Row],[Store]],store_clean[Store],store_clean[StoreType],"Not Found")</f>
        <v>a</v>
      </c>
    </row>
    <row r="268" spans="1:5" x14ac:dyDescent="0.2">
      <c r="A268">
        <v>267</v>
      </c>
      <c r="B268" s="1">
        <v>9289.1607142857138</v>
      </c>
      <c r="C268" s="1">
        <v>1124.5153061224489</v>
      </c>
      <c r="D268">
        <f>ROUND(store_performance[[#This Row],[AverageSales]]/store_performance[[#This Row],[AverageCustomers]],2)</f>
        <v>8.26</v>
      </c>
      <c r="E268" t="str">
        <f>_xlfn.XLOOKUP(store_performance[[#This Row],[Store]],store_clean[Store],store_clean[StoreType],"Not Found")</f>
        <v>c</v>
      </c>
    </row>
    <row r="269" spans="1:5" x14ac:dyDescent="0.2">
      <c r="A269">
        <v>268</v>
      </c>
      <c r="B269" s="1">
        <v>4881.1734693877552</v>
      </c>
      <c r="C269" s="1">
        <v>598.02933673469386</v>
      </c>
      <c r="D269">
        <f>ROUND(store_performance[[#This Row],[AverageSales]]/store_performance[[#This Row],[AverageCustomers]],2)</f>
        <v>8.16</v>
      </c>
      <c r="E269" t="str">
        <f>_xlfn.XLOOKUP(store_performance[[#This Row],[Store]],store_clean[Store],store_clean[StoreType],"Not Found")</f>
        <v>a</v>
      </c>
    </row>
    <row r="270" spans="1:5" x14ac:dyDescent="0.2">
      <c r="A270">
        <v>269</v>
      </c>
      <c r="B270" s="1">
        <v>9346.7060333761237</v>
      </c>
      <c r="C270" s="1">
        <v>1231.1001283697049</v>
      </c>
      <c r="D270">
        <f>ROUND(store_performance[[#This Row],[AverageSales]]/store_performance[[#This Row],[AverageCustomers]],2)</f>
        <v>7.59</v>
      </c>
      <c r="E270" t="str">
        <f>_xlfn.XLOOKUP(store_performance[[#This Row],[Store]],store_clean[Store],store_clean[StoreType],"Not Found")</f>
        <v>a</v>
      </c>
    </row>
    <row r="271" spans="1:5" x14ac:dyDescent="0.2">
      <c r="A271">
        <v>270</v>
      </c>
      <c r="B271" s="1">
        <v>9291.6237244897966</v>
      </c>
      <c r="C271" s="1">
        <v>1205.0676020408164</v>
      </c>
      <c r="D271">
        <f>ROUND(store_performance[[#This Row],[AverageSales]]/store_performance[[#This Row],[AverageCustomers]],2)</f>
        <v>7.71</v>
      </c>
      <c r="E271" t="str">
        <f>_xlfn.XLOOKUP(store_performance[[#This Row],[Store]],store_clean[Store],store_clean[StoreType],"Not Found")</f>
        <v>a</v>
      </c>
    </row>
    <row r="272" spans="1:5" x14ac:dyDescent="0.2">
      <c r="A272">
        <v>271</v>
      </c>
      <c r="B272" s="1">
        <v>7841.6910256410256</v>
      </c>
      <c r="C272" s="1">
        <v>791.8602564102564</v>
      </c>
      <c r="D272">
        <f>ROUND(store_performance[[#This Row],[AverageSales]]/store_performance[[#This Row],[AverageCustomers]],2)</f>
        <v>9.9</v>
      </c>
      <c r="E272" t="str">
        <f>_xlfn.XLOOKUP(store_performance[[#This Row],[Store]],store_clean[Store],store_clean[StoreType],"Not Found")</f>
        <v>a</v>
      </c>
    </row>
    <row r="273" spans="1:5" x14ac:dyDescent="0.2">
      <c r="A273">
        <v>272</v>
      </c>
      <c r="B273" s="1">
        <v>6237.3149807938544</v>
      </c>
      <c r="C273" s="1">
        <v>629.56081946222787</v>
      </c>
      <c r="D273">
        <f>ROUND(store_performance[[#This Row],[AverageSales]]/store_performance[[#This Row],[AverageCustomers]],2)</f>
        <v>9.91</v>
      </c>
      <c r="E273" t="str">
        <f>_xlfn.XLOOKUP(store_performance[[#This Row],[Store]],store_clean[Store],store_clean[StoreType],"Not Found")</f>
        <v>a</v>
      </c>
    </row>
    <row r="274" spans="1:5" x14ac:dyDescent="0.2">
      <c r="A274">
        <v>273</v>
      </c>
      <c r="B274" s="1">
        <v>7059.6482670089863</v>
      </c>
      <c r="C274" s="1">
        <v>703.6521181001284</v>
      </c>
      <c r="D274">
        <f>ROUND(store_performance[[#This Row],[AverageSales]]/store_performance[[#This Row],[AverageCustomers]],2)</f>
        <v>10.029999999999999</v>
      </c>
      <c r="E274" t="str">
        <f>_xlfn.XLOOKUP(store_performance[[#This Row],[Store]],store_clean[Store],store_clean[StoreType],"Not Found")</f>
        <v>a</v>
      </c>
    </row>
    <row r="275" spans="1:5" x14ac:dyDescent="0.2">
      <c r="A275">
        <v>274</v>
      </c>
      <c r="B275" s="1">
        <v>4070.8283261802576</v>
      </c>
      <c r="C275" s="1">
        <v>992.74141630901283</v>
      </c>
      <c r="D275">
        <f>ROUND(store_performance[[#This Row],[AverageSales]]/store_performance[[#This Row],[AverageCustomers]],2)</f>
        <v>4.0999999999999996</v>
      </c>
      <c r="E275" t="str">
        <f>_xlfn.XLOOKUP(store_performance[[#This Row],[Store]],store_clean[Store],store_clean[StoreType],"Not Found")</f>
        <v>b</v>
      </c>
    </row>
    <row r="276" spans="1:5" x14ac:dyDescent="0.2">
      <c r="A276">
        <v>275</v>
      </c>
      <c r="B276" s="1">
        <v>7443.8424437299036</v>
      </c>
      <c r="C276" s="1">
        <v>749.29742765273306</v>
      </c>
      <c r="D276">
        <f>ROUND(store_performance[[#This Row],[AverageSales]]/store_performance[[#This Row],[AverageCustomers]],2)</f>
        <v>9.93</v>
      </c>
      <c r="E276" t="str">
        <f>_xlfn.XLOOKUP(store_performance[[#This Row],[Store]],store_clean[Store],store_clean[StoreType],"Not Found")</f>
        <v>d</v>
      </c>
    </row>
    <row r="277" spans="1:5" x14ac:dyDescent="0.2">
      <c r="A277">
        <v>276</v>
      </c>
      <c r="B277" s="1">
        <v>4091.1948717948717</v>
      </c>
      <c r="C277" s="1">
        <v>520.9487179487179</v>
      </c>
      <c r="D277">
        <f>ROUND(store_performance[[#This Row],[AverageSales]]/store_performance[[#This Row],[AverageCustomers]],2)</f>
        <v>7.85</v>
      </c>
      <c r="E277" t="str">
        <f>_xlfn.XLOOKUP(store_performance[[#This Row],[Store]],store_clean[Store],store_clean[StoreType],"Not Found")</f>
        <v>a</v>
      </c>
    </row>
    <row r="278" spans="1:5" x14ac:dyDescent="0.2">
      <c r="A278">
        <v>277</v>
      </c>
      <c r="B278" s="1">
        <v>6444.519292604502</v>
      </c>
      <c r="C278" s="1">
        <v>535.24598070739546</v>
      </c>
      <c r="D278">
        <f>ROUND(store_performance[[#This Row],[AverageSales]]/store_performance[[#This Row],[AverageCustomers]],2)</f>
        <v>12.04</v>
      </c>
      <c r="E278" t="str">
        <f>_xlfn.XLOOKUP(store_performance[[#This Row],[Store]],store_clean[Store],store_clean[StoreType],"Not Found")</f>
        <v>d</v>
      </c>
    </row>
    <row r="279" spans="1:5" x14ac:dyDescent="0.2">
      <c r="A279">
        <v>278</v>
      </c>
      <c r="B279" s="1">
        <v>7142.1670918367345</v>
      </c>
      <c r="C279" s="1">
        <v>792.59948979591832</v>
      </c>
      <c r="D279">
        <f>ROUND(store_performance[[#This Row],[AverageSales]]/store_performance[[#This Row],[AverageCustomers]],2)</f>
        <v>9.01</v>
      </c>
      <c r="E279" t="str">
        <f>_xlfn.XLOOKUP(store_performance[[#This Row],[Store]],store_clean[Store],store_clean[StoreType],"Not Found")</f>
        <v>a</v>
      </c>
    </row>
    <row r="280" spans="1:5" x14ac:dyDescent="0.2">
      <c r="A280">
        <v>279</v>
      </c>
      <c r="B280" s="1">
        <v>8881.0898876404499</v>
      </c>
      <c r="C280" s="1">
        <v>667.53290529695028</v>
      </c>
      <c r="D280">
        <f>ROUND(store_performance[[#This Row],[AverageSales]]/store_performance[[#This Row],[AverageCustomers]],2)</f>
        <v>13.3</v>
      </c>
      <c r="E280" t="str">
        <f>_xlfn.XLOOKUP(store_performance[[#This Row],[Store]],store_clean[Store],store_clean[StoreType],"Not Found")</f>
        <v>d</v>
      </c>
    </row>
    <row r="281" spans="1:5" x14ac:dyDescent="0.2">
      <c r="A281">
        <v>280</v>
      </c>
      <c r="B281" s="1">
        <v>6267.4890604890606</v>
      </c>
      <c r="C281" s="1">
        <v>521.05920205920211</v>
      </c>
      <c r="D281">
        <f>ROUND(store_performance[[#This Row],[AverageSales]]/store_performance[[#This Row],[AverageCustomers]],2)</f>
        <v>12.03</v>
      </c>
      <c r="E281" t="str">
        <f>_xlfn.XLOOKUP(store_performance[[#This Row],[Store]],store_clean[Store],store_clean[StoreType],"Not Found")</f>
        <v>d</v>
      </c>
    </row>
    <row r="282" spans="1:5" x14ac:dyDescent="0.2">
      <c r="A282">
        <v>281</v>
      </c>
      <c r="B282" s="1">
        <v>5860.6173469387759</v>
      </c>
      <c r="C282" s="1">
        <v>549.65433673469386</v>
      </c>
      <c r="D282">
        <f>ROUND(store_performance[[#This Row],[AverageSales]]/store_performance[[#This Row],[AverageCustomers]],2)</f>
        <v>10.66</v>
      </c>
      <c r="E282" t="str">
        <f>_xlfn.XLOOKUP(store_performance[[#This Row],[Store]],store_clean[Store],store_clean[StoreType],"Not Found")</f>
        <v>d</v>
      </c>
    </row>
    <row r="283" spans="1:5" x14ac:dyDescent="0.2">
      <c r="A283">
        <v>282</v>
      </c>
      <c r="B283" s="1">
        <v>4408.5841836734689</v>
      </c>
      <c r="C283" s="1">
        <v>640.98341836734699</v>
      </c>
      <c r="D283">
        <f>ROUND(store_performance[[#This Row],[AverageSales]]/store_performance[[#This Row],[AverageCustomers]],2)</f>
        <v>6.88</v>
      </c>
      <c r="E283" t="str">
        <f>_xlfn.XLOOKUP(store_performance[[#This Row],[Store]],store_clean[Store],store_clean[StoreType],"Not Found")</f>
        <v>a</v>
      </c>
    </row>
    <row r="284" spans="1:5" x14ac:dyDescent="0.2">
      <c r="A284">
        <v>283</v>
      </c>
      <c r="B284" s="1">
        <v>7114.1591639871385</v>
      </c>
      <c r="C284" s="1">
        <v>718.32636655948556</v>
      </c>
      <c r="D284">
        <f>ROUND(store_performance[[#This Row],[AverageSales]]/store_performance[[#This Row],[AverageCustomers]],2)</f>
        <v>9.9</v>
      </c>
      <c r="E284" t="str">
        <f>_xlfn.XLOOKUP(store_performance[[#This Row],[Store]],store_clean[Store],store_clean[StoreType],"Not Found")</f>
        <v>a</v>
      </c>
    </row>
    <row r="285" spans="1:5" x14ac:dyDescent="0.2">
      <c r="A285">
        <v>284</v>
      </c>
      <c r="B285" s="1">
        <v>5413.2508038585211</v>
      </c>
      <c r="C285" s="1">
        <v>449.93247588424435</v>
      </c>
      <c r="D285">
        <f>ROUND(store_performance[[#This Row],[AverageSales]]/store_performance[[#This Row],[AverageCustomers]],2)</f>
        <v>12.03</v>
      </c>
      <c r="E285" t="str">
        <f>_xlfn.XLOOKUP(store_performance[[#This Row],[Store]],store_clean[Store],store_clean[StoreType],"Not Found")</f>
        <v>d</v>
      </c>
    </row>
    <row r="286" spans="1:5" x14ac:dyDescent="0.2">
      <c r="A286">
        <v>285</v>
      </c>
      <c r="B286" s="1">
        <v>5154.9244558258642</v>
      </c>
      <c r="C286" s="1">
        <v>470.23815620998721</v>
      </c>
      <c r="D286">
        <f>ROUND(store_performance[[#This Row],[AverageSales]]/store_performance[[#This Row],[AverageCustomers]],2)</f>
        <v>10.96</v>
      </c>
      <c r="E286" t="str">
        <f>_xlfn.XLOOKUP(store_performance[[#This Row],[Store]],store_clean[Store],store_clean[StoreType],"Not Found")</f>
        <v>a</v>
      </c>
    </row>
    <row r="287" spans="1:5" x14ac:dyDescent="0.2">
      <c r="A287">
        <v>286</v>
      </c>
      <c r="B287" s="1">
        <v>4927.8202824133505</v>
      </c>
      <c r="C287" s="1">
        <v>430.45571245186136</v>
      </c>
      <c r="D287">
        <f>ROUND(store_performance[[#This Row],[AverageSales]]/store_performance[[#This Row],[AverageCustomers]],2)</f>
        <v>11.45</v>
      </c>
      <c r="E287" t="str">
        <f>_xlfn.XLOOKUP(store_performance[[#This Row],[Store]],store_clean[Store],store_clean[StoreType],"Not Found")</f>
        <v>a</v>
      </c>
    </row>
    <row r="288" spans="1:5" x14ac:dyDescent="0.2">
      <c r="A288">
        <v>287</v>
      </c>
      <c r="B288" s="1">
        <v>8152.4003215434086</v>
      </c>
      <c r="C288" s="1">
        <v>818.99839228295821</v>
      </c>
      <c r="D288">
        <f>ROUND(store_performance[[#This Row],[AverageSales]]/store_performance[[#This Row],[AverageCustomers]],2)</f>
        <v>9.9499999999999993</v>
      </c>
      <c r="E288" t="str">
        <f>_xlfn.XLOOKUP(store_performance[[#This Row],[Store]],store_clean[Store],store_clean[StoreType],"Not Found")</f>
        <v>c</v>
      </c>
    </row>
    <row r="289" spans="1:5" x14ac:dyDescent="0.2">
      <c r="A289">
        <v>288</v>
      </c>
      <c r="B289" s="1">
        <v>5625.7331189710612</v>
      </c>
      <c r="C289" s="1">
        <v>422.51768488745978</v>
      </c>
      <c r="D289">
        <f>ROUND(store_performance[[#This Row],[AverageSales]]/store_performance[[#This Row],[AverageCustomers]],2)</f>
        <v>13.31</v>
      </c>
      <c r="E289" t="str">
        <f>_xlfn.XLOOKUP(store_performance[[#This Row],[Store]],store_clean[Store],store_clean[StoreType],"Not Found")</f>
        <v>d</v>
      </c>
    </row>
    <row r="290" spans="1:5" x14ac:dyDescent="0.2">
      <c r="A290">
        <v>289</v>
      </c>
      <c r="B290" s="1">
        <v>6321.2279129321387</v>
      </c>
      <c r="C290" s="1">
        <v>553.70934699103714</v>
      </c>
      <c r="D290">
        <f>ROUND(store_performance[[#This Row],[AverageSales]]/store_performance[[#This Row],[AverageCustomers]],2)</f>
        <v>11.42</v>
      </c>
      <c r="E290" t="str">
        <f>_xlfn.XLOOKUP(store_performance[[#This Row],[Store]],store_clean[Store],store_clean[StoreType],"Not Found")</f>
        <v>d</v>
      </c>
    </row>
    <row r="291" spans="1:5" x14ac:dyDescent="0.2">
      <c r="A291">
        <v>290</v>
      </c>
      <c r="B291" s="1">
        <v>7014.1578947368425</v>
      </c>
      <c r="C291" s="1">
        <v>682.70603337612329</v>
      </c>
      <c r="D291">
        <f>ROUND(store_performance[[#This Row],[AverageSales]]/store_performance[[#This Row],[AverageCustomers]],2)</f>
        <v>10.27</v>
      </c>
      <c r="E291" t="str">
        <f>_xlfn.XLOOKUP(store_performance[[#This Row],[Store]],store_clean[Store],store_clean[StoreType],"Not Found")</f>
        <v>a</v>
      </c>
    </row>
    <row r="292" spans="1:5" x14ac:dyDescent="0.2">
      <c r="A292">
        <v>291</v>
      </c>
      <c r="B292" s="1">
        <v>8023.0397435897439</v>
      </c>
      <c r="C292" s="1">
        <v>840.35</v>
      </c>
      <c r="D292">
        <f>ROUND(store_performance[[#This Row],[AverageSales]]/store_performance[[#This Row],[AverageCustomers]],2)</f>
        <v>9.5500000000000007</v>
      </c>
      <c r="E292" t="str">
        <f>_xlfn.XLOOKUP(store_performance[[#This Row],[Store]],store_clean[Store],store_clean[StoreType],"Not Found")</f>
        <v>d</v>
      </c>
    </row>
    <row r="293" spans="1:5" x14ac:dyDescent="0.2">
      <c r="A293">
        <v>292</v>
      </c>
      <c r="B293" s="1">
        <v>5774.0900783289817</v>
      </c>
      <c r="C293" s="1">
        <v>706.52219321148823</v>
      </c>
      <c r="D293">
        <f>ROUND(store_performance[[#This Row],[AverageSales]]/store_performance[[#This Row],[AverageCustomers]],2)</f>
        <v>8.17</v>
      </c>
      <c r="E293" t="str">
        <f>_xlfn.XLOOKUP(store_performance[[#This Row],[Store]],store_clean[Store],store_clean[StoreType],"Not Found")</f>
        <v>a</v>
      </c>
    </row>
    <row r="294" spans="1:5" x14ac:dyDescent="0.2">
      <c r="A294">
        <v>293</v>
      </c>
      <c r="B294" s="1">
        <v>6257.7650063856963</v>
      </c>
      <c r="C294" s="1">
        <v>815.37547892720306</v>
      </c>
      <c r="D294">
        <f>ROUND(store_performance[[#This Row],[AverageSales]]/store_performance[[#This Row],[AverageCustomers]],2)</f>
        <v>7.67</v>
      </c>
      <c r="E294" t="str">
        <f>_xlfn.XLOOKUP(store_performance[[#This Row],[Store]],store_clean[Store],store_clean[StoreType],"Not Found")</f>
        <v>c</v>
      </c>
    </row>
    <row r="295" spans="1:5" x14ac:dyDescent="0.2">
      <c r="A295">
        <v>294</v>
      </c>
      <c r="B295" s="1">
        <v>5770.2804097311137</v>
      </c>
      <c r="C295" s="1">
        <v>766.02432778489117</v>
      </c>
      <c r="D295">
        <f>ROUND(store_performance[[#This Row],[AverageSales]]/store_performance[[#This Row],[AverageCustomers]],2)</f>
        <v>7.53</v>
      </c>
      <c r="E295" t="str">
        <f>_xlfn.XLOOKUP(store_performance[[#This Row],[Store]],store_clean[Store],store_clean[StoreType],"Not Found")</f>
        <v>a</v>
      </c>
    </row>
    <row r="296" spans="1:5" x14ac:dyDescent="0.2">
      <c r="A296">
        <v>295</v>
      </c>
      <c r="B296" s="1">
        <v>5285.4311454311455</v>
      </c>
      <c r="C296" s="1">
        <v>670.98069498069503</v>
      </c>
      <c r="D296">
        <f>ROUND(store_performance[[#This Row],[AverageSales]]/store_performance[[#This Row],[AverageCustomers]],2)</f>
        <v>7.88</v>
      </c>
      <c r="E296" t="str">
        <f>_xlfn.XLOOKUP(store_performance[[#This Row],[Store]],store_clean[Store],store_clean[StoreType],"Not Found")</f>
        <v>a</v>
      </c>
    </row>
    <row r="297" spans="1:5" x14ac:dyDescent="0.2">
      <c r="A297">
        <v>296</v>
      </c>
      <c r="B297" s="1">
        <v>6963.4609475032012</v>
      </c>
      <c r="C297" s="1">
        <v>754.80793854033288</v>
      </c>
      <c r="D297">
        <f>ROUND(store_performance[[#This Row],[AverageSales]]/store_performance[[#This Row],[AverageCustomers]],2)</f>
        <v>9.23</v>
      </c>
      <c r="E297" t="str">
        <f>_xlfn.XLOOKUP(store_performance[[#This Row],[Store]],store_clean[Store],store_clean[StoreType],"Not Found")</f>
        <v>a</v>
      </c>
    </row>
    <row r="298" spans="1:5" x14ac:dyDescent="0.2">
      <c r="A298">
        <v>297</v>
      </c>
      <c r="B298" s="1">
        <v>6992.070785070785</v>
      </c>
      <c r="C298" s="1">
        <v>719.93050193050192</v>
      </c>
      <c r="D298">
        <f>ROUND(store_performance[[#This Row],[AverageSales]]/store_performance[[#This Row],[AverageCustomers]],2)</f>
        <v>9.7100000000000009</v>
      </c>
      <c r="E298" t="str">
        <f>_xlfn.XLOOKUP(store_performance[[#This Row],[Store]],store_clean[Store],store_clean[StoreType],"Not Found")</f>
        <v>a</v>
      </c>
    </row>
    <row r="299" spans="1:5" x14ac:dyDescent="0.2">
      <c r="A299">
        <v>298</v>
      </c>
      <c r="B299" s="1">
        <v>8398.6173633440521</v>
      </c>
      <c r="C299" s="1">
        <v>691.28456591639872</v>
      </c>
      <c r="D299">
        <f>ROUND(store_performance[[#This Row],[AverageSales]]/store_performance[[#This Row],[AverageCustomers]],2)</f>
        <v>12.15</v>
      </c>
      <c r="E299" t="str">
        <f>_xlfn.XLOOKUP(store_performance[[#This Row],[Store]],store_clean[Store],store_clean[StoreType],"Not Found")</f>
        <v>d</v>
      </c>
    </row>
    <row r="300" spans="1:5" x14ac:dyDescent="0.2">
      <c r="A300">
        <v>299</v>
      </c>
      <c r="B300" s="1">
        <v>6235.3061224489793</v>
      </c>
      <c r="C300" s="1">
        <v>682.82879818594108</v>
      </c>
      <c r="D300">
        <f>ROUND(store_performance[[#This Row],[AverageSales]]/store_performance[[#This Row],[AverageCustomers]],2)</f>
        <v>9.1300000000000008</v>
      </c>
      <c r="E300" t="str">
        <f>_xlfn.XLOOKUP(store_performance[[#This Row],[Store]],store_clean[Store],store_clean[StoreType],"Not Found")</f>
        <v>d</v>
      </c>
    </row>
    <row r="301" spans="1:5" x14ac:dyDescent="0.2">
      <c r="A301">
        <v>300</v>
      </c>
      <c r="B301" s="1">
        <v>7077.5959079283884</v>
      </c>
      <c r="C301" s="1">
        <v>878.69181585677745</v>
      </c>
      <c r="D301">
        <f>ROUND(store_performance[[#This Row],[AverageSales]]/store_performance[[#This Row],[AverageCustomers]],2)</f>
        <v>8.0500000000000007</v>
      </c>
      <c r="E301" t="str">
        <f>_xlfn.XLOOKUP(store_performance[[#This Row],[Store]],store_clean[Store],store_clean[StoreType],"Not Found")</f>
        <v>a</v>
      </c>
    </row>
    <row r="302" spans="1:5" x14ac:dyDescent="0.2">
      <c r="A302">
        <v>301</v>
      </c>
      <c r="B302" s="1">
        <v>5538.4413265306121</v>
      </c>
      <c r="C302" s="1">
        <v>596.14285714285711</v>
      </c>
      <c r="D302">
        <f>ROUND(store_performance[[#This Row],[AverageSales]]/store_performance[[#This Row],[AverageCustomers]],2)</f>
        <v>9.2899999999999991</v>
      </c>
      <c r="E302" t="str">
        <f>_xlfn.XLOOKUP(store_performance[[#This Row],[Store]],store_clean[Store],store_clean[StoreType],"Not Found")</f>
        <v>a</v>
      </c>
    </row>
    <row r="303" spans="1:5" x14ac:dyDescent="0.2">
      <c r="A303">
        <v>302</v>
      </c>
      <c r="B303" s="1">
        <v>3742.2842509603074</v>
      </c>
      <c r="C303" s="1">
        <v>323.3393085787452</v>
      </c>
      <c r="D303">
        <f>ROUND(store_performance[[#This Row],[AverageSales]]/store_performance[[#This Row],[AverageCustomers]],2)</f>
        <v>11.57</v>
      </c>
      <c r="E303" t="str">
        <f>_xlfn.XLOOKUP(store_performance[[#This Row],[Store]],store_clean[Store],store_clean[StoreType],"Not Found")</f>
        <v>d</v>
      </c>
    </row>
    <row r="304" spans="1:5" x14ac:dyDescent="0.2">
      <c r="A304">
        <v>303</v>
      </c>
      <c r="B304" s="1">
        <v>6180.0860495436764</v>
      </c>
      <c r="C304" s="1">
        <v>673.12255541069101</v>
      </c>
      <c r="D304">
        <f>ROUND(store_performance[[#This Row],[AverageSales]]/store_performance[[#This Row],[AverageCustomers]],2)</f>
        <v>9.18</v>
      </c>
      <c r="E304" t="str">
        <f>_xlfn.XLOOKUP(store_performance[[#This Row],[Store]],store_clean[Store],store_clean[StoreType],"Not Found")</f>
        <v>a</v>
      </c>
    </row>
    <row r="305" spans="1:5" x14ac:dyDescent="0.2">
      <c r="A305">
        <v>304</v>
      </c>
      <c r="B305" s="1">
        <v>7067.7028061224491</v>
      </c>
      <c r="C305" s="1">
        <v>1055.9387755102041</v>
      </c>
      <c r="D305">
        <f>ROUND(store_performance[[#This Row],[AverageSales]]/store_performance[[#This Row],[AverageCustomers]],2)</f>
        <v>6.69</v>
      </c>
      <c r="E305" t="str">
        <f>_xlfn.XLOOKUP(store_performance[[#This Row],[Store]],store_clean[Store],store_clean[StoreType],"Not Found")</f>
        <v>a</v>
      </c>
    </row>
    <row r="306" spans="1:5" x14ac:dyDescent="0.2">
      <c r="A306">
        <v>305</v>
      </c>
      <c r="B306" s="1">
        <v>5347.3418693982076</v>
      </c>
      <c r="C306" s="1">
        <v>507.45838668373881</v>
      </c>
      <c r="D306">
        <f>ROUND(store_performance[[#This Row],[AverageSales]]/store_performance[[#This Row],[AverageCustomers]],2)</f>
        <v>10.54</v>
      </c>
      <c r="E306" t="str">
        <f>_xlfn.XLOOKUP(store_performance[[#This Row],[Store]],store_clean[Store],store_clean[StoreType],"Not Found")</f>
        <v>c</v>
      </c>
    </row>
    <row r="307" spans="1:5" x14ac:dyDescent="0.2">
      <c r="A307">
        <v>306</v>
      </c>
      <c r="B307" s="1">
        <v>4368.8665594855302</v>
      </c>
      <c r="C307" s="1">
        <v>467.87942122186496</v>
      </c>
      <c r="D307">
        <f>ROUND(store_performance[[#This Row],[AverageSales]]/store_performance[[#This Row],[AverageCustomers]],2)</f>
        <v>9.34</v>
      </c>
      <c r="E307" t="str">
        <f>_xlfn.XLOOKUP(store_performance[[#This Row],[Store]],store_clean[Store],store_clean[StoreType],"Not Found")</f>
        <v>a</v>
      </c>
    </row>
    <row r="308" spans="1:5" x14ac:dyDescent="0.2">
      <c r="A308">
        <v>307</v>
      </c>
      <c r="B308" s="1">
        <v>2703.7365728900254</v>
      </c>
      <c r="C308" s="1">
        <v>307.80562659846549</v>
      </c>
      <c r="D308">
        <f>ROUND(store_performance[[#This Row],[AverageSales]]/store_performance[[#This Row],[AverageCustomers]],2)</f>
        <v>8.7799999999999994</v>
      </c>
      <c r="E308" t="str">
        <f>_xlfn.XLOOKUP(store_performance[[#This Row],[Store]],store_clean[Store],store_clean[StoreType],"Not Found")</f>
        <v>a</v>
      </c>
    </row>
    <row r="309" spans="1:5" x14ac:dyDescent="0.2">
      <c r="A309">
        <v>308</v>
      </c>
      <c r="B309" s="1">
        <v>9353.1627604166661</v>
      </c>
      <c r="C309" s="1">
        <v>938.48046875</v>
      </c>
      <c r="D309">
        <f>ROUND(store_performance[[#This Row],[AverageSales]]/store_performance[[#This Row],[AverageCustomers]],2)</f>
        <v>9.9700000000000006</v>
      </c>
      <c r="E309" t="str">
        <f>_xlfn.XLOOKUP(store_performance[[#This Row],[Store]],store_clean[Store],store_clean[StoreType],"Not Found")</f>
        <v>a</v>
      </c>
    </row>
    <row r="310" spans="1:5" x14ac:dyDescent="0.2">
      <c r="A310">
        <v>309</v>
      </c>
      <c r="B310" s="1">
        <v>6971.3196405648268</v>
      </c>
      <c r="C310" s="1">
        <v>591.03209242618743</v>
      </c>
      <c r="D310">
        <f>ROUND(store_performance[[#This Row],[AverageSales]]/store_performance[[#This Row],[AverageCustomers]],2)</f>
        <v>11.8</v>
      </c>
      <c r="E310" t="str">
        <f>_xlfn.XLOOKUP(store_performance[[#This Row],[Store]],store_clean[Store],store_clean[StoreType],"Not Found")</f>
        <v>d</v>
      </c>
    </row>
    <row r="311" spans="1:5" x14ac:dyDescent="0.2">
      <c r="A311">
        <v>310</v>
      </c>
      <c r="B311" s="1">
        <v>8236.3634336677824</v>
      </c>
      <c r="C311" s="1">
        <v>699.67001114827201</v>
      </c>
      <c r="D311">
        <f>ROUND(store_performance[[#This Row],[AverageSales]]/store_performance[[#This Row],[AverageCustomers]],2)</f>
        <v>11.77</v>
      </c>
      <c r="E311" t="str">
        <f>_xlfn.XLOOKUP(store_performance[[#This Row],[Store]],store_clean[Store],store_clean[StoreType],"Not Found")</f>
        <v>a</v>
      </c>
    </row>
    <row r="312" spans="1:5" x14ac:dyDescent="0.2">
      <c r="A312">
        <v>311</v>
      </c>
      <c r="B312" s="1">
        <v>6638.5877080665814</v>
      </c>
      <c r="C312" s="1">
        <v>789.15877080665814</v>
      </c>
      <c r="D312">
        <f>ROUND(store_performance[[#This Row],[AverageSales]]/store_performance[[#This Row],[AverageCustomers]],2)</f>
        <v>8.41</v>
      </c>
      <c r="E312" t="str">
        <f>_xlfn.XLOOKUP(store_performance[[#This Row],[Store]],store_clean[Store],store_clean[StoreType],"Not Found")</f>
        <v>a</v>
      </c>
    </row>
    <row r="313" spans="1:5" x14ac:dyDescent="0.2">
      <c r="A313">
        <v>312</v>
      </c>
      <c r="B313" s="1">
        <v>5568.1574903969267</v>
      </c>
      <c r="C313" s="1">
        <v>538.65300896286817</v>
      </c>
      <c r="D313">
        <f>ROUND(store_performance[[#This Row],[AverageSales]]/store_performance[[#This Row],[AverageCustomers]],2)</f>
        <v>10.34</v>
      </c>
      <c r="E313" t="str">
        <f>_xlfn.XLOOKUP(store_performance[[#This Row],[Store]],store_clean[Store],store_clean[StoreType],"Not Found")</f>
        <v>d</v>
      </c>
    </row>
    <row r="314" spans="1:5" x14ac:dyDescent="0.2">
      <c r="A314">
        <v>313</v>
      </c>
      <c r="B314" s="1">
        <v>7075.4948849104858</v>
      </c>
      <c r="C314" s="1">
        <v>707.01406649616365</v>
      </c>
      <c r="D314">
        <f>ROUND(store_performance[[#This Row],[AverageSales]]/store_performance[[#This Row],[AverageCustomers]],2)</f>
        <v>10.01</v>
      </c>
      <c r="E314" t="str">
        <f>_xlfn.XLOOKUP(store_performance[[#This Row],[Store]],store_clean[Store],store_clean[StoreType],"Not Found")</f>
        <v>d</v>
      </c>
    </row>
    <row r="315" spans="1:5" x14ac:dyDescent="0.2">
      <c r="A315">
        <v>314</v>
      </c>
      <c r="B315" s="1">
        <v>5137.7150192554554</v>
      </c>
      <c r="C315" s="1">
        <v>571.25802310654683</v>
      </c>
      <c r="D315">
        <f>ROUND(store_performance[[#This Row],[AverageSales]]/store_performance[[#This Row],[AverageCustomers]],2)</f>
        <v>8.99</v>
      </c>
      <c r="E315" t="str">
        <f>_xlfn.XLOOKUP(store_performance[[#This Row],[Store]],store_clean[Store],store_clean[StoreType],"Not Found")</f>
        <v>a</v>
      </c>
    </row>
    <row r="316" spans="1:5" x14ac:dyDescent="0.2">
      <c r="A316">
        <v>315</v>
      </c>
      <c r="B316" s="1">
        <v>4252.4107142857147</v>
      </c>
      <c r="C316" s="1">
        <v>449.57270408163265</v>
      </c>
      <c r="D316">
        <f>ROUND(store_performance[[#This Row],[AverageSales]]/store_performance[[#This Row],[AverageCustomers]],2)</f>
        <v>9.4600000000000009</v>
      </c>
      <c r="E316" t="str">
        <f>_xlfn.XLOOKUP(store_performance[[#This Row],[Store]],store_clean[Store],store_clean[StoreType],"Not Found")</f>
        <v>a</v>
      </c>
    </row>
    <row r="317" spans="1:5" x14ac:dyDescent="0.2">
      <c r="A317">
        <v>316</v>
      </c>
      <c r="B317" s="1">
        <v>9855.6251604621302</v>
      </c>
      <c r="C317" s="1">
        <v>901.83825417201535</v>
      </c>
      <c r="D317">
        <f>ROUND(store_performance[[#This Row],[AverageSales]]/store_performance[[#This Row],[AverageCustomers]],2)</f>
        <v>10.93</v>
      </c>
      <c r="E317" t="str">
        <f>_xlfn.XLOOKUP(store_performance[[#This Row],[Store]],store_clean[Store],store_clean[StoreType],"Not Found")</f>
        <v>d</v>
      </c>
    </row>
    <row r="318" spans="1:5" x14ac:dyDescent="0.2">
      <c r="A318">
        <v>317</v>
      </c>
      <c r="B318" s="1">
        <v>5379.4855305466235</v>
      </c>
      <c r="C318" s="1">
        <v>579.31832797427649</v>
      </c>
      <c r="D318">
        <f>ROUND(store_performance[[#This Row],[AverageSales]]/store_performance[[#This Row],[AverageCustomers]],2)</f>
        <v>9.2899999999999991</v>
      </c>
      <c r="E318" t="str">
        <f>_xlfn.XLOOKUP(store_performance[[#This Row],[Store]],store_clean[Store],store_clean[StoreType],"Not Found")</f>
        <v>d</v>
      </c>
    </row>
    <row r="319" spans="1:5" x14ac:dyDescent="0.2">
      <c r="A319">
        <v>318</v>
      </c>
      <c r="B319" s="1">
        <v>7527.7166666666662</v>
      </c>
      <c r="C319" s="1">
        <v>658.7461538461539</v>
      </c>
      <c r="D319">
        <f>ROUND(store_performance[[#This Row],[AverageSales]]/store_performance[[#This Row],[AverageCustomers]],2)</f>
        <v>11.43</v>
      </c>
      <c r="E319" t="str">
        <f>_xlfn.XLOOKUP(store_performance[[#This Row],[Store]],store_clean[Store],store_clean[StoreType],"Not Found")</f>
        <v>d</v>
      </c>
    </row>
    <row r="320" spans="1:5" x14ac:dyDescent="0.2">
      <c r="A320">
        <v>319</v>
      </c>
      <c r="B320" s="1">
        <v>7787.0765306122448</v>
      </c>
      <c r="C320" s="1">
        <v>843.68494897959181</v>
      </c>
      <c r="D320">
        <f>ROUND(store_performance[[#This Row],[AverageSales]]/store_performance[[#This Row],[AverageCustomers]],2)</f>
        <v>9.23</v>
      </c>
      <c r="E320" t="str">
        <f>_xlfn.XLOOKUP(store_performance[[#This Row],[Store]],store_clean[Store],store_clean[StoreType],"Not Found")</f>
        <v>a</v>
      </c>
    </row>
    <row r="321" spans="1:5" x14ac:dyDescent="0.2">
      <c r="A321">
        <v>320</v>
      </c>
      <c r="B321" s="1">
        <v>14834.461734693878</v>
      </c>
      <c r="C321" s="1">
        <v>2063.1237244897961</v>
      </c>
      <c r="D321">
        <f>ROUND(store_performance[[#This Row],[AverageSales]]/store_performance[[#This Row],[AverageCustomers]],2)</f>
        <v>7.19</v>
      </c>
      <c r="E321" t="str">
        <f>_xlfn.XLOOKUP(store_performance[[#This Row],[Store]],store_clean[Store],store_clean[StoreType],"Not Found")</f>
        <v>a</v>
      </c>
    </row>
    <row r="322" spans="1:5" x14ac:dyDescent="0.2">
      <c r="A322">
        <v>321</v>
      </c>
      <c r="B322" s="1">
        <v>5958.3179487179486</v>
      </c>
      <c r="C322" s="1">
        <v>585.46410256410252</v>
      </c>
      <c r="D322">
        <f>ROUND(store_performance[[#This Row],[AverageSales]]/store_performance[[#This Row],[AverageCustomers]],2)</f>
        <v>10.18</v>
      </c>
      <c r="E322" t="str">
        <f>_xlfn.XLOOKUP(store_performance[[#This Row],[Store]],store_clean[Store],store_clean[StoreType],"Not Found")</f>
        <v>c</v>
      </c>
    </row>
    <row r="323" spans="1:5" x14ac:dyDescent="0.2">
      <c r="A323">
        <v>322</v>
      </c>
      <c r="B323" s="1">
        <v>5021.1726342710999</v>
      </c>
      <c r="C323" s="1">
        <v>547.86700767263426</v>
      </c>
      <c r="D323">
        <f>ROUND(store_performance[[#This Row],[AverageSales]]/store_performance[[#This Row],[AverageCustomers]],2)</f>
        <v>9.16</v>
      </c>
      <c r="E323" t="str">
        <f>_xlfn.XLOOKUP(store_performance[[#This Row],[Store]],store_clean[Store],store_clean[StoreType],"Not Found")</f>
        <v>a</v>
      </c>
    </row>
    <row r="324" spans="1:5" x14ac:dyDescent="0.2">
      <c r="A324">
        <v>323</v>
      </c>
      <c r="B324" s="1">
        <v>7365.3594351732991</v>
      </c>
      <c r="C324" s="1">
        <v>621.14249037227216</v>
      </c>
      <c r="D324">
        <f>ROUND(store_performance[[#This Row],[AverageSales]]/store_performance[[#This Row],[AverageCustomers]],2)</f>
        <v>11.86</v>
      </c>
      <c r="E324" t="str">
        <f>_xlfn.XLOOKUP(store_performance[[#This Row],[Store]],store_clean[Store],store_clean[StoreType],"Not Found")</f>
        <v>d</v>
      </c>
    </row>
    <row r="325" spans="1:5" x14ac:dyDescent="0.2">
      <c r="A325">
        <v>324</v>
      </c>
      <c r="B325" s="1">
        <v>5687.9858974358976</v>
      </c>
      <c r="C325" s="1">
        <v>721.73461538461538</v>
      </c>
      <c r="D325">
        <f>ROUND(store_performance[[#This Row],[AverageSales]]/store_performance[[#This Row],[AverageCustomers]],2)</f>
        <v>7.88</v>
      </c>
      <c r="E325" t="str">
        <f>_xlfn.XLOOKUP(store_performance[[#This Row],[Store]],store_clean[Store],store_clean[StoreType],"Not Found")</f>
        <v>a</v>
      </c>
    </row>
    <row r="326" spans="1:5" x14ac:dyDescent="0.2">
      <c r="A326">
        <v>325</v>
      </c>
      <c r="B326" s="1">
        <v>6484.6456996148909</v>
      </c>
      <c r="C326" s="1">
        <v>673.0603337612323</v>
      </c>
      <c r="D326">
        <f>ROUND(store_performance[[#This Row],[AverageSales]]/store_performance[[#This Row],[AverageCustomers]],2)</f>
        <v>9.6300000000000008</v>
      </c>
      <c r="E326" t="str">
        <f>_xlfn.XLOOKUP(store_performance[[#This Row],[Store]],store_clean[Store],store_clean[StoreType],"Not Found")</f>
        <v>a</v>
      </c>
    </row>
    <row r="327" spans="1:5" x14ac:dyDescent="0.2">
      <c r="A327">
        <v>326</v>
      </c>
      <c r="B327" s="1">
        <v>5008.9037227214376</v>
      </c>
      <c r="C327" s="1">
        <v>418.74197689345317</v>
      </c>
      <c r="D327">
        <f>ROUND(store_performance[[#This Row],[AverageSales]]/store_performance[[#This Row],[AverageCustomers]],2)</f>
        <v>11.96</v>
      </c>
      <c r="E327" t="str">
        <f>_xlfn.XLOOKUP(store_performance[[#This Row],[Store]],store_clean[Store],store_clean[StoreType],"Not Found")</f>
        <v>d</v>
      </c>
    </row>
    <row r="328" spans="1:5" x14ac:dyDescent="0.2">
      <c r="A328">
        <v>327</v>
      </c>
      <c r="B328" s="1">
        <v>7728.2429305912592</v>
      </c>
      <c r="C328" s="1">
        <v>929.48329048843186</v>
      </c>
      <c r="D328">
        <f>ROUND(store_performance[[#This Row],[AverageSales]]/store_performance[[#This Row],[AverageCustomers]],2)</f>
        <v>8.31</v>
      </c>
      <c r="E328" t="str">
        <f>_xlfn.XLOOKUP(store_performance[[#This Row],[Store]],store_clean[Store],store_clean[StoreType],"Not Found")</f>
        <v>c</v>
      </c>
    </row>
    <row r="329" spans="1:5" x14ac:dyDescent="0.2">
      <c r="A329">
        <v>328</v>
      </c>
      <c r="B329" s="1">
        <v>4432.0295250320924</v>
      </c>
      <c r="C329" s="1">
        <v>520.39922978177151</v>
      </c>
      <c r="D329">
        <f>ROUND(store_performance[[#This Row],[AverageSales]]/store_performance[[#This Row],[AverageCustomers]],2)</f>
        <v>8.52</v>
      </c>
      <c r="E329" t="str">
        <f>_xlfn.XLOOKUP(store_performance[[#This Row],[Store]],store_clean[Store],store_clean[StoreType],"Not Found")</f>
        <v>a</v>
      </c>
    </row>
    <row r="330" spans="1:5" x14ac:dyDescent="0.2">
      <c r="A330">
        <v>329</v>
      </c>
      <c r="B330" s="1">
        <v>6912.7163029525036</v>
      </c>
      <c r="C330" s="1">
        <v>620.52118100128371</v>
      </c>
      <c r="D330">
        <f>ROUND(store_performance[[#This Row],[AverageSales]]/store_performance[[#This Row],[AverageCustomers]],2)</f>
        <v>11.14</v>
      </c>
      <c r="E330" t="str">
        <f>_xlfn.XLOOKUP(store_performance[[#This Row],[Store]],store_clean[Store],store_clean[StoreType],"Not Found")</f>
        <v>a</v>
      </c>
    </row>
    <row r="331" spans="1:5" x14ac:dyDescent="0.2">
      <c r="A331">
        <v>330</v>
      </c>
      <c r="B331" s="1">
        <v>4166.6379974326055</v>
      </c>
      <c r="C331" s="1">
        <v>447.55455712451862</v>
      </c>
      <c r="D331">
        <f>ROUND(store_performance[[#This Row],[AverageSales]]/store_performance[[#This Row],[AverageCustomers]],2)</f>
        <v>9.31</v>
      </c>
      <c r="E331" t="str">
        <f>_xlfn.XLOOKUP(store_performance[[#This Row],[Store]],store_clean[Store],store_clean[StoreType],"Not Found")</f>
        <v>a</v>
      </c>
    </row>
    <row r="332" spans="1:5" x14ac:dyDescent="0.2">
      <c r="A332">
        <v>331</v>
      </c>
      <c r="B332" s="1">
        <v>6160.85622593068</v>
      </c>
      <c r="C332" s="1">
        <v>820.20539152759943</v>
      </c>
      <c r="D332">
        <f>ROUND(store_performance[[#This Row],[AverageSales]]/store_performance[[#This Row],[AverageCustomers]],2)</f>
        <v>7.51</v>
      </c>
      <c r="E332" t="str">
        <f>_xlfn.XLOOKUP(store_performance[[#This Row],[Store]],store_clean[Store],store_clean[StoreType],"Not Found")</f>
        <v>a</v>
      </c>
    </row>
    <row r="333" spans="1:5" x14ac:dyDescent="0.2">
      <c r="A333">
        <v>332</v>
      </c>
      <c r="B333" s="1">
        <v>3728.5666666666666</v>
      </c>
      <c r="C333" s="1">
        <v>501.49743589743588</v>
      </c>
      <c r="D333">
        <f>ROUND(store_performance[[#This Row],[AverageSales]]/store_performance[[#This Row],[AverageCustomers]],2)</f>
        <v>7.43</v>
      </c>
      <c r="E333" t="str">
        <f>_xlfn.XLOOKUP(store_performance[[#This Row],[Store]],store_clean[Store],store_clean[StoreType],"Not Found")</f>
        <v>a</v>
      </c>
    </row>
    <row r="334" spans="1:5" x14ac:dyDescent="0.2">
      <c r="A334">
        <v>333</v>
      </c>
      <c r="B334" s="1">
        <v>9773.1900510204086</v>
      </c>
      <c r="C334" s="1">
        <v>1267.1096938775511</v>
      </c>
      <c r="D334">
        <f>ROUND(store_performance[[#This Row],[AverageSales]]/store_performance[[#This Row],[AverageCustomers]],2)</f>
        <v>7.71</v>
      </c>
      <c r="E334" t="str">
        <f>_xlfn.XLOOKUP(store_performance[[#This Row],[Store]],store_clean[Store],store_clean[StoreType],"Not Found")</f>
        <v>a</v>
      </c>
    </row>
    <row r="335" spans="1:5" x14ac:dyDescent="0.2">
      <c r="A335">
        <v>334</v>
      </c>
      <c r="B335" s="1">
        <v>5428.3851091142487</v>
      </c>
      <c r="C335" s="1">
        <v>562.1399229781772</v>
      </c>
      <c r="D335">
        <f>ROUND(store_performance[[#This Row],[AverageSales]]/store_performance[[#This Row],[AverageCustomers]],2)</f>
        <v>9.66</v>
      </c>
      <c r="E335" t="str">
        <f>_xlfn.XLOOKUP(store_performance[[#This Row],[Store]],store_clean[Store],store_clean[StoreType],"Not Found")</f>
        <v>d</v>
      </c>
    </row>
    <row r="336" spans="1:5" x14ac:dyDescent="0.2">
      <c r="A336">
        <v>335</v>
      </c>
      <c r="B336" s="1">
        <v>13313.93949044586</v>
      </c>
      <c r="C336" s="1">
        <v>2385.2823779193204</v>
      </c>
      <c r="D336">
        <f>ROUND(store_performance[[#This Row],[AverageSales]]/store_performance[[#This Row],[AverageCustomers]],2)</f>
        <v>5.58</v>
      </c>
      <c r="E336" t="str">
        <f>_xlfn.XLOOKUP(store_performance[[#This Row],[Store]],store_clean[Store],store_clean[StoreType],"Not Found")</f>
        <v>b</v>
      </c>
    </row>
    <row r="337" spans="1:5" x14ac:dyDescent="0.2">
      <c r="A337">
        <v>336</v>
      </c>
      <c r="B337" s="1">
        <v>13910.661538461538</v>
      </c>
      <c r="C337" s="1">
        <v>1960.3115384615385</v>
      </c>
      <c r="D337">
        <f>ROUND(store_performance[[#This Row],[AverageSales]]/store_performance[[#This Row],[AverageCustomers]],2)</f>
        <v>7.1</v>
      </c>
      <c r="E337" t="str">
        <f>_xlfn.XLOOKUP(store_performance[[#This Row],[Store]],store_clean[Store],store_clean[StoreType],"Not Found")</f>
        <v>a</v>
      </c>
    </row>
    <row r="338" spans="1:5" x14ac:dyDescent="0.2">
      <c r="A338">
        <v>337</v>
      </c>
      <c r="B338" s="1">
        <v>5049.6530089628677</v>
      </c>
      <c r="C338" s="1">
        <v>383.93085787451986</v>
      </c>
      <c r="D338">
        <f>ROUND(store_performance[[#This Row],[AverageSales]]/store_performance[[#This Row],[AverageCustomers]],2)</f>
        <v>13.15</v>
      </c>
      <c r="E338" t="str">
        <f>_xlfn.XLOOKUP(store_performance[[#This Row],[Store]],store_clean[Store],store_clean[StoreType],"Not Found")</f>
        <v>d</v>
      </c>
    </row>
    <row r="339" spans="1:5" x14ac:dyDescent="0.2">
      <c r="A339">
        <v>338</v>
      </c>
      <c r="B339" s="1">
        <v>7217.9539052496802</v>
      </c>
      <c r="C339" s="1">
        <v>624.73111395646606</v>
      </c>
      <c r="D339">
        <f>ROUND(store_performance[[#This Row],[AverageSales]]/store_performance[[#This Row],[AverageCustomers]],2)</f>
        <v>11.55</v>
      </c>
      <c r="E339" t="str">
        <f>_xlfn.XLOOKUP(store_performance[[#This Row],[Store]],store_clean[Store],store_clean[StoreType],"Not Found")</f>
        <v>a</v>
      </c>
    </row>
    <row r="340" spans="1:5" x14ac:dyDescent="0.2">
      <c r="A340">
        <v>339</v>
      </c>
      <c r="B340" s="1">
        <v>5133.6388888888887</v>
      </c>
      <c r="C340" s="1">
        <v>679.35978835978835</v>
      </c>
      <c r="D340">
        <f>ROUND(store_performance[[#This Row],[AverageSales]]/store_performance[[#This Row],[AverageCustomers]],2)</f>
        <v>7.56</v>
      </c>
      <c r="E340" t="str">
        <f>_xlfn.XLOOKUP(store_performance[[#This Row],[Store]],store_clean[Store],store_clean[StoreType],"Not Found")</f>
        <v>a</v>
      </c>
    </row>
    <row r="341" spans="1:5" x14ac:dyDescent="0.2">
      <c r="A341">
        <v>340</v>
      </c>
      <c r="B341" s="1">
        <v>6485.6428571428569</v>
      </c>
      <c r="C341" s="1">
        <v>715.03826530612241</v>
      </c>
      <c r="D341">
        <f>ROUND(store_performance[[#This Row],[AverageSales]]/store_performance[[#This Row],[AverageCustomers]],2)</f>
        <v>9.07</v>
      </c>
      <c r="E341" t="str">
        <f>_xlfn.XLOOKUP(store_performance[[#This Row],[Store]],store_clean[Store],store_clean[StoreType],"Not Found")</f>
        <v>a</v>
      </c>
    </row>
    <row r="342" spans="1:5" x14ac:dyDescent="0.2">
      <c r="A342">
        <v>341</v>
      </c>
      <c r="B342" s="1">
        <v>5511.5340179717587</v>
      </c>
      <c r="C342" s="1">
        <v>750.13478818998715</v>
      </c>
      <c r="D342">
        <f>ROUND(store_performance[[#This Row],[AverageSales]]/store_performance[[#This Row],[AverageCustomers]],2)</f>
        <v>7.35</v>
      </c>
      <c r="E342" t="str">
        <f>_xlfn.XLOOKUP(store_performance[[#This Row],[Store]],store_clean[Store],store_clean[StoreType],"Not Found")</f>
        <v>a</v>
      </c>
    </row>
    <row r="343" spans="1:5" x14ac:dyDescent="0.2">
      <c r="A343">
        <v>342</v>
      </c>
      <c r="B343" s="1">
        <v>11104.138486312399</v>
      </c>
      <c r="C343" s="1">
        <v>849.73429951690821</v>
      </c>
      <c r="D343">
        <f>ROUND(store_performance[[#This Row],[AverageSales]]/store_performance[[#This Row],[AverageCustomers]],2)</f>
        <v>13.07</v>
      </c>
      <c r="E343" t="str">
        <f>_xlfn.XLOOKUP(store_performance[[#This Row],[Store]],store_clean[Store],store_clean[StoreType],"Not Found")</f>
        <v>d</v>
      </c>
    </row>
    <row r="344" spans="1:5" x14ac:dyDescent="0.2">
      <c r="A344">
        <v>343</v>
      </c>
      <c r="B344" s="1">
        <v>7199.3658536585363</v>
      </c>
      <c r="C344" s="1">
        <v>702.15917843388956</v>
      </c>
      <c r="D344">
        <f>ROUND(store_performance[[#This Row],[AverageSales]]/store_performance[[#This Row],[AverageCustomers]],2)</f>
        <v>10.25</v>
      </c>
      <c r="E344" t="str">
        <f>_xlfn.XLOOKUP(store_performance[[#This Row],[Store]],store_clean[Store],store_clean[StoreType],"Not Found")</f>
        <v>d</v>
      </c>
    </row>
    <row r="345" spans="1:5" x14ac:dyDescent="0.2">
      <c r="A345">
        <v>344</v>
      </c>
      <c r="B345" s="1">
        <v>8481.1084183673465</v>
      </c>
      <c r="C345" s="1">
        <v>1139.4107142857142</v>
      </c>
      <c r="D345">
        <f>ROUND(store_performance[[#This Row],[AverageSales]]/store_performance[[#This Row],[AverageCustomers]],2)</f>
        <v>7.44</v>
      </c>
      <c r="E345" t="str">
        <f>_xlfn.XLOOKUP(store_performance[[#This Row],[Store]],store_clean[Store],store_clean[StoreType],"Not Found")</f>
        <v>a</v>
      </c>
    </row>
    <row r="346" spans="1:5" x14ac:dyDescent="0.2">
      <c r="A346">
        <v>345</v>
      </c>
      <c r="B346" s="1">
        <v>4559.5852090032158</v>
      </c>
      <c r="C346" s="1">
        <v>494.37781350482317</v>
      </c>
      <c r="D346">
        <f>ROUND(store_performance[[#This Row],[AverageSales]]/store_performance[[#This Row],[AverageCustomers]],2)</f>
        <v>9.2200000000000006</v>
      </c>
      <c r="E346" t="str">
        <f>_xlfn.XLOOKUP(store_performance[[#This Row],[Store]],store_clean[Store],store_clean[StoreType],"Not Found")</f>
        <v>a</v>
      </c>
    </row>
    <row r="347" spans="1:5" x14ac:dyDescent="0.2">
      <c r="A347">
        <v>346</v>
      </c>
      <c r="B347" s="1">
        <v>6830.5006418485236</v>
      </c>
      <c r="C347" s="1">
        <v>619.69833119383827</v>
      </c>
      <c r="D347">
        <f>ROUND(store_performance[[#This Row],[AverageSales]]/store_performance[[#This Row],[AverageCustomers]],2)</f>
        <v>11.02</v>
      </c>
      <c r="E347" t="str">
        <f>_xlfn.XLOOKUP(store_performance[[#This Row],[Store]],store_clean[Store],store_clean[StoreType],"Not Found")</f>
        <v>a</v>
      </c>
    </row>
    <row r="348" spans="1:5" x14ac:dyDescent="0.2">
      <c r="A348">
        <v>347</v>
      </c>
      <c r="B348" s="1">
        <v>4804.1904761904761</v>
      </c>
      <c r="C348" s="1">
        <v>386.68468468468467</v>
      </c>
      <c r="D348">
        <f>ROUND(store_performance[[#This Row],[AverageSales]]/store_performance[[#This Row],[AverageCustomers]],2)</f>
        <v>12.42</v>
      </c>
      <c r="E348" t="str">
        <f>_xlfn.XLOOKUP(store_performance[[#This Row],[Store]],store_clean[Store],store_clean[StoreType],"Not Found")</f>
        <v>d</v>
      </c>
    </row>
    <row r="349" spans="1:5" x14ac:dyDescent="0.2">
      <c r="A349">
        <v>348</v>
      </c>
      <c r="B349" s="1">
        <v>8802.9748743718592</v>
      </c>
      <c r="C349" s="1">
        <v>735.5577889447236</v>
      </c>
      <c r="D349">
        <f>ROUND(store_performance[[#This Row],[AverageSales]]/store_performance[[#This Row],[AverageCustomers]],2)</f>
        <v>11.97</v>
      </c>
      <c r="E349" t="str">
        <f>_xlfn.XLOOKUP(store_performance[[#This Row],[Store]],store_clean[Store],store_clean[StoreType],"Not Found")</f>
        <v>a</v>
      </c>
    </row>
    <row r="350" spans="1:5" x14ac:dyDescent="0.2">
      <c r="A350">
        <v>349</v>
      </c>
      <c r="B350" s="1">
        <v>8159.2157142857141</v>
      </c>
      <c r="C350" s="1">
        <v>829.59</v>
      </c>
      <c r="D350">
        <f>ROUND(store_performance[[#This Row],[AverageSales]]/store_performance[[#This Row],[AverageCustomers]],2)</f>
        <v>9.84</v>
      </c>
      <c r="E350" t="str">
        <f>_xlfn.XLOOKUP(store_performance[[#This Row],[Store]],store_clean[Store],store_clean[StoreType],"Not Found")</f>
        <v>c</v>
      </c>
    </row>
    <row r="351" spans="1:5" x14ac:dyDescent="0.2">
      <c r="A351">
        <v>350</v>
      </c>
      <c r="B351" s="1">
        <v>7013.1331626120354</v>
      </c>
      <c r="C351" s="1">
        <v>529.41357234314978</v>
      </c>
      <c r="D351">
        <f>ROUND(store_performance[[#This Row],[AverageSales]]/store_performance[[#This Row],[AverageCustomers]],2)</f>
        <v>13.25</v>
      </c>
      <c r="E351" t="str">
        <f>_xlfn.XLOOKUP(store_performance[[#This Row],[Store]],store_clean[Store],store_clean[StoreType],"Not Found")</f>
        <v>d</v>
      </c>
    </row>
    <row r="352" spans="1:5" x14ac:dyDescent="0.2">
      <c r="A352">
        <v>351</v>
      </c>
      <c r="B352" s="1">
        <v>6046.867779204108</v>
      </c>
      <c r="C352" s="1">
        <v>518.82413350449292</v>
      </c>
      <c r="D352">
        <f>ROUND(store_performance[[#This Row],[AverageSales]]/store_performance[[#This Row],[AverageCustomers]],2)</f>
        <v>11.65</v>
      </c>
      <c r="E352" t="str">
        <f>_xlfn.XLOOKUP(store_performance[[#This Row],[Store]],store_clean[Store],store_clean[StoreType],"Not Found")</f>
        <v>a</v>
      </c>
    </row>
    <row r="353" spans="1:5" x14ac:dyDescent="0.2">
      <c r="A353">
        <v>352</v>
      </c>
      <c r="B353" s="1">
        <v>6692.2321428571431</v>
      </c>
      <c r="C353" s="1">
        <v>636.95408163265301</v>
      </c>
      <c r="D353">
        <f>ROUND(store_performance[[#This Row],[AverageSales]]/store_performance[[#This Row],[AverageCustomers]],2)</f>
        <v>10.51</v>
      </c>
      <c r="E353" t="str">
        <f>_xlfn.XLOOKUP(store_performance[[#This Row],[Store]],store_clean[Store],store_clean[StoreType],"Not Found")</f>
        <v>d</v>
      </c>
    </row>
    <row r="354" spans="1:5" x14ac:dyDescent="0.2">
      <c r="A354">
        <v>353</v>
      </c>
      <c r="B354" s="1">
        <v>5645.2986036519869</v>
      </c>
      <c r="C354" s="1">
        <v>1449.5273899033298</v>
      </c>
      <c r="D354">
        <f>ROUND(store_performance[[#This Row],[AverageSales]]/store_performance[[#This Row],[AverageCustomers]],2)</f>
        <v>3.89</v>
      </c>
      <c r="E354" t="str">
        <f>_xlfn.XLOOKUP(store_performance[[#This Row],[Store]],store_clean[Store],store_clean[StoreType],"Not Found")</f>
        <v>b</v>
      </c>
    </row>
    <row r="355" spans="1:5" x14ac:dyDescent="0.2">
      <c r="A355">
        <v>354</v>
      </c>
      <c r="B355" s="1">
        <v>8390.5815147625162</v>
      </c>
      <c r="C355" s="1">
        <v>705.45186136071891</v>
      </c>
      <c r="D355">
        <f>ROUND(store_performance[[#This Row],[AverageSales]]/store_performance[[#This Row],[AverageCustomers]],2)</f>
        <v>11.89</v>
      </c>
      <c r="E355" t="str">
        <f>_xlfn.XLOOKUP(store_performance[[#This Row],[Store]],store_clean[Store],store_clean[StoreType],"Not Found")</f>
        <v>d</v>
      </c>
    </row>
    <row r="356" spans="1:5" x14ac:dyDescent="0.2">
      <c r="A356">
        <v>355</v>
      </c>
      <c r="B356" s="1">
        <v>9148.8112244897966</v>
      </c>
      <c r="C356" s="1">
        <v>1101.6632653061224</v>
      </c>
      <c r="D356">
        <f>ROUND(store_performance[[#This Row],[AverageSales]]/store_performance[[#This Row],[AverageCustomers]],2)</f>
        <v>8.3000000000000007</v>
      </c>
      <c r="E356" t="str">
        <f>_xlfn.XLOOKUP(store_performance[[#This Row],[Store]],store_clean[Store],store_clean[StoreType],"Not Found")</f>
        <v>a</v>
      </c>
    </row>
    <row r="357" spans="1:5" x14ac:dyDescent="0.2">
      <c r="A357">
        <v>356</v>
      </c>
      <c r="B357" s="1">
        <v>5719.2818532818537</v>
      </c>
      <c r="C357" s="1">
        <v>435.80180180180179</v>
      </c>
      <c r="D357">
        <f>ROUND(store_performance[[#This Row],[AverageSales]]/store_performance[[#This Row],[AverageCustomers]],2)</f>
        <v>13.12</v>
      </c>
      <c r="E357" t="str">
        <f>_xlfn.XLOOKUP(store_performance[[#This Row],[Store]],store_clean[Store],store_clean[StoreType],"Not Found")</f>
        <v>d</v>
      </c>
    </row>
    <row r="358" spans="1:5" x14ac:dyDescent="0.2">
      <c r="A358">
        <v>357</v>
      </c>
      <c r="B358" s="1">
        <v>7795.470052083333</v>
      </c>
      <c r="C358" s="1">
        <v>1017.171875</v>
      </c>
      <c r="D358">
        <f>ROUND(store_performance[[#This Row],[AverageSales]]/store_performance[[#This Row],[AverageCustomers]],2)</f>
        <v>7.66</v>
      </c>
      <c r="E358" t="str">
        <f>_xlfn.XLOOKUP(store_performance[[#This Row],[Store]],store_clean[Store],store_clean[StoreType],"Not Found")</f>
        <v>a</v>
      </c>
    </row>
    <row r="359" spans="1:5" x14ac:dyDescent="0.2">
      <c r="A359">
        <v>358</v>
      </c>
      <c r="B359" s="1">
        <v>10306.111681643133</v>
      </c>
      <c r="C359" s="1">
        <v>1122.5917843388961</v>
      </c>
      <c r="D359">
        <f>ROUND(store_performance[[#This Row],[AverageSales]]/store_performance[[#This Row],[AverageCustomers]],2)</f>
        <v>9.18</v>
      </c>
      <c r="E359" t="str">
        <f>_xlfn.XLOOKUP(store_performance[[#This Row],[Store]],store_clean[Store],store_clean[StoreType],"Not Found")</f>
        <v>a</v>
      </c>
    </row>
    <row r="360" spans="1:5" x14ac:dyDescent="0.2">
      <c r="A360">
        <v>359</v>
      </c>
      <c r="B360" s="1">
        <v>6851.2554557124522</v>
      </c>
      <c r="C360" s="1">
        <v>611.94993581514757</v>
      </c>
      <c r="D360">
        <f>ROUND(store_performance[[#This Row],[AverageSales]]/store_performance[[#This Row],[AverageCustomers]],2)</f>
        <v>11.2</v>
      </c>
      <c r="E360" t="str">
        <f>_xlfn.XLOOKUP(store_performance[[#This Row],[Store]],store_clean[Store],store_clean[StoreType],"Not Found")</f>
        <v>d</v>
      </c>
    </row>
    <row r="361" spans="1:5" x14ac:dyDescent="0.2">
      <c r="A361">
        <v>360</v>
      </c>
      <c r="B361" s="1">
        <v>6935.4591836734689</v>
      </c>
      <c r="C361" s="1">
        <v>756.5408163265306</v>
      </c>
      <c r="D361">
        <f>ROUND(store_performance[[#This Row],[AverageSales]]/store_performance[[#This Row],[AverageCustomers]],2)</f>
        <v>9.17</v>
      </c>
      <c r="E361" t="str">
        <f>_xlfn.XLOOKUP(store_performance[[#This Row],[Store]],store_clean[Store],store_clean[StoreType],"Not Found")</f>
        <v>a</v>
      </c>
    </row>
    <row r="362" spans="1:5" x14ac:dyDescent="0.2">
      <c r="A362">
        <v>361</v>
      </c>
      <c r="B362" s="1">
        <v>6266.8833333333332</v>
      </c>
      <c r="C362" s="1">
        <v>637.82307692307688</v>
      </c>
      <c r="D362">
        <f>ROUND(store_performance[[#This Row],[AverageSales]]/store_performance[[#This Row],[AverageCustomers]],2)</f>
        <v>9.83</v>
      </c>
      <c r="E362" t="str">
        <f>_xlfn.XLOOKUP(store_performance[[#This Row],[Store]],store_clean[Store],store_clean[StoreType],"Not Found")</f>
        <v>c</v>
      </c>
    </row>
    <row r="363" spans="1:5" x14ac:dyDescent="0.2">
      <c r="A363">
        <v>362</v>
      </c>
      <c r="B363" s="1">
        <v>9376.6555697823296</v>
      </c>
      <c r="C363" s="1">
        <v>1150.6184379001281</v>
      </c>
      <c r="D363">
        <f>ROUND(store_performance[[#This Row],[AverageSales]]/store_performance[[#This Row],[AverageCustomers]],2)</f>
        <v>8.15</v>
      </c>
      <c r="E363" t="str">
        <f>_xlfn.XLOOKUP(store_performance[[#This Row],[Store]],store_clean[Store],store_clean[StoreType],"Not Found")</f>
        <v>c</v>
      </c>
    </row>
    <row r="364" spans="1:5" x14ac:dyDescent="0.2">
      <c r="A364">
        <v>363</v>
      </c>
      <c r="B364" s="1">
        <v>7134.2002551020405</v>
      </c>
      <c r="C364" s="1">
        <v>937.08545918367349</v>
      </c>
      <c r="D364">
        <f>ROUND(store_performance[[#This Row],[AverageSales]]/store_performance[[#This Row],[AverageCustomers]],2)</f>
        <v>7.61</v>
      </c>
      <c r="E364" t="str">
        <f>_xlfn.XLOOKUP(store_performance[[#This Row],[Store]],store_clean[Store],store_clean[StoreType],"Not Found")</f>
        <v>a</v>
      </c>
    </row>
    <row r="365" spans="1:5" x14ac:dyDescent="0.2">
      <c r="A365">
        <v>364</v>
      </c>
      <c r="B365" s="1">
        <v>4553.1141374837871</v>
      </c>
      <c r="C365" s="1">
        <v>567.62645914396887</v>
      </c>
      <c r="D365">
        <f>ROUND(store_performance[[#This Row],[AverageSales]]/store_performance[[#This Row],[AverageCustomers]],2)</f>
        <v>8.02</v>
      </c>
      <c r="E365" t="str">
        <f>_xlfn.XLOOKUP(store_performance[[#This Row],[Store]],store_clean[Store],store_clean[StoreType],"Not Found")</f>
        <v>a</v>
      </c>
    </row>
    <row r="366" spans="1:5" x14ac:dyDescent="0.2">
      <c r="A366">
        <v>365</v>
      </c>
      <c r="B366" s="1">
        <v>5440.594202898551</v>
      </c>
      <c r="C366" s="1">
        <v>587.2061191626409</v>
      </c>
      <c r="D366">
        <f>ROUND(store_performance[[#This Row],[AverageSales]]/store_performance[[#This Row],[AverageCustomers]],2)</f>
        <v>9.27</v>
      </c>
      <c r="E366" t="str">
        <f>_xlfn.XLOOKUP(store_performance[[#This Row],[Store]],store_clean[Store],store_clean[StoreType],"Not Found")</f>
        <v>c</v>
      </c>
    </row>
    <row r="367" spans="1:5" x14ac:dyDescent="0.2">
      <c r="A367">
        <v>366</v>
      </c>
      <c r="B367" s="1">
        <v>6196.7628205128203</v>
      </c>
      <c r="C367" s="1">
        <v>600.92820512820515</v>
      </c>
      <c r="D367">
        <f>ROUND(store_performance[[#This Row],[AverageSales]]/store_performance[[#This Row],[AverageCustomers]],2)</f>
        <v>10.31</v>
      </c>
      <c r="E367" t="str">
        <f>_xlfn.XLOOKUP(store_performance[[#This Row],[Store]],store_clean[Store],store_clean[StoreType],"Not Found")</f>
        <v>d</v>
      </c>
    </row>
    <row r="368" spans="1:5" x14ac:dyDescent="0.2">
      <c r="A368">
        <v>367</v>
      </c>
      <c r="B368" s="1">
        <v>5254.2385204081629</v>
      </c>
      <c r="C368" s="1">
        <v>542.78954081632651</v>
      </c>
      <c r="D368">
        <f>ROUND(store_performance[[#This Row],[AverageSales]]/store_performance[[#This Row],[AverageCustomers]],2)</f>
        <v>9.68</v>
      </c>
      <c r="E368" t="str">
        <f>_xlfn.XLOOKUP(store_performance[[#This Row],[Store]],store_clean[Store],store_clean[StoreType],"Not Found")</f>
        <v>d</v>
      </c>
    </row>
    <row r="369" spans="1:5" x14ac:dyDescent="0.2">
      <c r="A369">
        <v>368</v>
      </c>
      <c r="B369" s="1">
        <v>9686.268983268983</v>
      </c>
      <c r="C369" s="1">
        <v>712.88030888030892</v>
      </c>
      <c r="D369">
        <f>ROUND(store_performance[[#This Row],[AverageSales]]/store_performance[[#This Row],[AverageCustomers]],2)</f>
        <v>13.59</v>
      </c>
      <c r="E369" t="str">
        <f>_xlfn.XLOOKUP(store_performance[[#This Row],[Store]],store_clean[Store],store_clean[StoreType],"Not Found")</f>
        <v>d</v>
      </c>
    </row>
    <row r="370" spans="1:5" x14ac:dyDescent="0.2">
      <c r="A370">
        <v>369</v>
      </c>
      <c r="B370" s="1">
        <v>6856.5595390524968</v>
      </c>
      <c r="C370" s="1">
        <v>577.28553137003837</v>
      </c>
      <c r="D370">
        <f>ROUND(store_performance[[#This Row],[AverageSales]]/store_performance[[#This Row],[AverageCustomers]],2)</f>
        <v>11.88</v>
      </c>
      <c r="E370" t="str">
        <f>_xlfn.XLOOKUP(store_performance[[#This Row],[Store]],store_clean[Store],store_clean[StoreType],"Not Found")</f>
        <v>d</v>
      </c>
    </row>
    <row r="371" spans="1:5" x14ac:dyDescent="0.2">
      <c r="A371">
        <v>370</v>
      </c>
      <c r="B371" s="1">
        <v>7649.6431322207955</v>
      </c>
      <c r="C371" s="1">
        <v>635.63286264441592</v>
      </c>
      <c r="D371">
        <f>ROUND(store_performance[[#This Row],[AverageSales]]/store_performance[[#This Row],[AverageCustomers]],2)</f>
        <v>12.03</v>
      </c>
      <c r="E371" t="str">
        <f>_xlfn.XLOOKUP(store_performance[[#This Row],[Store]],store_clean[Store],store_clean[StoreType],"Not Found")</f>
        <v>d</v>
      </c>
    </row>
    <row r="372" spans="1:5" x14ac:dyDescent="0.2">
      <c r="A372">
        <v>371</v>
      </c>
      <c r="B372" s="1">
        <v>6889.7567221510881</v>
      </c>
      <c r="C372" s="1">
        <v>544.41101152368753</v>
      </c>
      <c r="D372">
        <f>ROUND(store_performance[[#This Row],[AverageSales]]/store_performance[[#This Row],[AverageCustomers]],2)</f>
        <v>12.66</v>
      </c>
      <c r="E372" t="str">
        <f>_xlfn.XLOOKUP(store_performance[[#This Row],[Store]],store_clean[Store],store_clean[StoreType],"Not Found")</f>
        <v>d</v>
      </c>
    </row>
    <row r="373" spans="1:5" x14ac:dyDescent="0.2">
      <c r="A373">
        <v>372</v>
      </c>
      <c r="B373" s="1">
        <v>8786.2066752246465</v>
      </c>
      <c r="C373" s="1">
        <v>759.29910141206676</v>
      </c>
      <c r="D373">
        <f>ROUND(store_performance[[#This Row],[AverageSales]]/store_performance[[#This Row],[AverageCustomers]],2)</f>
        <v>11.57</v>
      </c>
      <c r="E373" t="str">
        <f>_xlfn.XLOOKUP(store_performance[[#This Row],[Store]],store_clean[Store],store_clean[StoreType],"Not Found")</f>
        <v>d</v>
      </c>
    </row>
    <row r="374" spans="1:5" x14ac:dyDescent="0.2">
      <c r="A374">
        <v>373</v>
      </c>
      <c r="B374" s="1">
        <v>4530.5032175032175</v>
      </c>
      <c r="C374" s="1">
        <v>316.54440154440152</v>
      </c>
      <c r="D374">
        <f>ROUND(store_performance[[#This Row],[AverageSales]]/store_performance[[#This Row],[AverageCustomers]],2)</f>
        <v>14.31</v>
      </c>
      <c r="E374" t="str">
        <f>_xlfn.XLOOKUP(store_performance[[#This Row],[Store]],store_clean[Store],store_clean[StoreType],"Not Found")</f>
        <v>d</v>
      </c>
    </row>
    <row r="375" spans="1:5" x14ac:dyDescent="0.2">
      <c r="A375">
        <v>374</v>
      </c>
      <c r="B375" s="1">
        <v>7009.6734693877552</v>
      </c>
      <c r="C375" s="1">
        <v>829.73596938775506</v>
      </c>
      <c r="D375">
        <f>ROUND(store_performance[[#This Row],[AverageSales]]/store_performance[[#This Row],[AverageCustomers]],2)</f>
        <v>8.4499999999999993</v>
      </c>
      <c r="E375" t="str">
        <f>_xlfn.XLOOKUP(store_performance[[#This Row],[Store]],store_clean[Store],store_clean[StoreType],"Not Found")</f>
        <v>a</v>
      </c>
    </row>
    <row r="376" spans="1:5" x14ac:dyDescent="0.2">
      <c r="A376">
        <v>375</v>
      </c>
      <c r="B376" s="1">
        <v>9164.3846153846152</v>
      </c>
      <c r="C376" s="1">
        <v>758.97564102564104</v>
      </c>
      <c r="D376">
        <f>ROUND(store_performance[[#This Row],[AverageSales]]/store_performance[[#This Row],[AverageCustomers]],2)</f>
        <v>12.07</v>
      </c>
      <c r="E376" t="str">
        <f>_xlfn.XLOOKUP(store_performance[[#This Row],[Store]],store_clean[Store],store_clean[StoreType],"Not Found")</f>
        <v>a</v>
      </c>
    </row>
    <row r="377" spans="1:5" x14ac:dyDescent="0.2">
      <c r="A377">
        <v>376</v>
      </c>
      <c r="B377" s="1">
        <v>8460.1201550387595</v>
      </c>
      <c r="C377" s="1">
        <v>949.96124031007753</v>
      </c>
      <c r="D377">
        <f>ROUND(store_performance[[#This Row],[AverageSales]]/store_performance[[#This Row],[AverageCustomers]],2)</f>
        <v>8.91</v>
      </c>
      <c r="E377" t="str">
        <f>_xlfn.XLOOKUP(store_performance[[#This Row],[Store]],store_clean[Store],store_clean[StoreType],"Not Found")</f>
        <v>a</v>
      </c>
    </row>
    <row r="378" spans="1:5" x14ac:dyDescent="0.2">
      <c r="A378">
        <v>377</v>
      </c>
      <c r="B378" s="1">
        <v>7818.5267857142853</v>
      </c>
      <c r="C378" s="1">
        <v>969.41454081632651</v>
      </c>
      <c r="D378">
        <f>ROUND(store_performance[[#This Row],[AverageSales]]/store_performance[[#This Row],[AverageCustomers]],2)</f>
        <v>8.07</v>
      </c>
      <c r="E378" t="str">
        <f>_xlfn.XLOOKUP(store_performance[[#This Row],[Store]],store_clean[Store],store_clean[StoreType],"Not Found")</f>
        <v>a</v>
      </c>
    </row>
    <row r="379" spans="1:5" x14ac:dyDescent="0.2">
      <c r="A379">
        <v>378</v>
      </c>
      <c r="B379" s="1">
        <v>6324.801026957638</v>
      </c>
      <c r="C379" s="1">
        <v>970.1566110397946</v>
      </c>
      <c r="D379">
        <f>ROUND(store_performance[[#This Row],[AverageSales]]/store_performance[[#This Row],[AverageCustomers]],2)</f>
        <v>6.52</v>
      </c>
      <c r="E379" t="str">
        <f>_xlfn.XLOOKUP(store_performance[[#This Row],[Store]],store_clean[Store],store_clean[StoreType],"Not Found")</f>
        <v>a</v>
      </c>
    </row>
    <row r="380" spans="1:5" x14ac:dyDescent="0.2">
      <c r="A380">
        <v>379</v>
      </c>
      <c r="B380" s="1">
        <v>3902.220663265306</v>
      </c>
      <c r="C380" s="1">
        <v>467.53954081632651</v>
      </c>
      <c r="D380">
        <f>ROUND(store_performance[[#This Row],[AverageSales]]/store_performance[[#This Row],[AverageCustomers]],2)</f>
        <v>8.35</v>
      </c>
      <c r="E380" t="str">
        <f>_xlfn.XLOOKUP(store_performance[[#This Row],[Store]],store_clean[Store],store_clean[StoreType],"Not Found")</f>
        <v>d</v>
      </c>
    </row>
    <row r="381" spans="1:5" x14ac:dyDescent="0.2">
      <c r="A381">
        <v>380</v>
      </c>
      <c r="B381" s="1">
        <v>14456.580231065469</v>
      </c>
      <c r="C381" s="1">
        <v>1380.4557124518615</v>
      </c>
      <c r="D381">
        <f>ROUND(store_performance[[#This Row],[AverageSales]]/store_performance[[#This Row],[AverageCustomers]],2)</f>
        <v>10.47</v>
      </c>
      <c r="E381" t="str">
        <f>_xlfn.XLOOKUP(store_performance[[#This Row],[Store]],store_clean[Store],store_clean[StoreType],"Not Found")</f>
        <v>a</v>
      </c>
    </row>
    <row r="382" spans="1:5" x14ac:dyDescent="0.2">
      <c r="A382">
        <v>381</v>
      </c>
      <c r="B382" s="1">
        <v>9001.5551282051274</v>
      </c>
      <c r="C382" s="1">
        <v>965.19102564102559</v>
      </c>
      <c r="D382">
        <f>ROUND(store_performance[[#This Row],[AverageSales]]/store_performance[[#This Row],[AverageCustomers]],2)</f>
        <v>9.33</v>
      </c>
      <c r="E382" t="str">
        <f>_xlfn.XLOOKUP(store_performance[[#This Row],[Store]],store_clean[Store],store_clean[StoreType],"Not Found")</f>
        <v>a</v>
      </c>
    </row>
    <row r="383" spans="1:5" x14ac:dyDescent="0.2">
      <c r="A383">
        <v>382</v>
      </c>
      <c r="B383" s="1">
        <v>7985.8474358974363</v>
      </c>
      <c r="C383" s="1">
        <v>651.24102564102566</v>
      </c>
      <c r="D383">
        <f>ROUND(store_performance[[#This Row],[AverageSales]]/store_performance[[#This Row],[AverageCustomers]],2)</f>
        <v>12.26</v>
      </c>
      <c r="E383" t="str">
        <f>_xlfn.XLOOKUP(store_performance[[#This Row],[Store]],store_clean[Store],store_clean[StoreType],"Not Found")</f>
        <v>c</v>
      </c>
    </row>
    <row r="384" spans="1:5" x14ac:dyDescent="0.2">
      <c r="A384">
        <v>383</v>
      </c>
      <c r="B384" s="1">
        <v>17294.716666666667</v>
      </c>
      <c r="C384" s="1">
        <v>2205.4474358974358</v>
      </c>
      <c r="D384">
        <f>ROUND(store_performance[[#This Row],[AverageSales]]/store_performance[[#This Row],[AverageCustomers]],2)</f>
        <v>7.84</v>
      </c>
      <c r="E384" t="str">
        <f>_xlfn.XLOOKUP(store_performance[[#This Row],[Store]],store_clean[Store],store_clean[StoreType],"Not Found")</f>
        <v>a</v>
      </c>
    </row>
    <row r="385" spans="1:5" x14ac:dyDescent="0.2">
      <c r="A385">
        <v>384</v>
      </c>
      <c r="B385" s="1">
        <v>8871.5754475703325</v>
      </c>
      <c r="C385" s="1">
        <v>998.8554987212276</v>
      </c>
      <c r="D385">
        <f>ROUND(store_performance[[#This Row],[AverageSales]]/store_performance[[#This Row],[AverageCustomers]],2)</f>
        <v>8.8800000000000008</v>
      </c>
      <c r="E385" t="str">
        <f>_xlfn.XLOOKUP(store_performance[[#This Row],[Store]],store_clean[Store],store_clean[StoreType],"Not Found")</f>
        <v>a</v>
      </c>
    </row>
    <row r="386" spans="1:5" x14ac:dyDescent="0.2">
      <c r="A386">
        <v>385</v>
      </c>
      <c r="B386" s="1">
        <v>7348.519292604502</v>
      </c>
      <c r="C386" s="1">
        <v>654.5530546623794</v>
      </c>
      <c r="D386">
        <f>ROUND(store_performance[[#This Row],[AverageSales]]/store_performance[[#This Row],[AverageCustomers]],2)</f>
        <v>11.23</v>
      </c>
      <c r="E386" t="str">
        <f>_xlfn.XLOOKUP(store_performance[[#This Row],[Store]],store_clean[Store],store_clean[StoreType],"Not Found")</f>
        <v>d</v>
      </c>
    </row>
    <row r="387" spans="1:5" x14ac:dyDescent="0.2">
      <c r="A387">
        <v>386</v>
      </c>
      <c r="B387" s="1">
        <v>8029.541720154044</v>
      </c>
      <c r="C387" s="1">
        <v>645.39666238767654</v>
      </c>
      <c r="D387">
        <f>ROUND(store_performance[[#This Row],[AverageSales]]/store_performance[[#This Row],[AverageCustomers]],2)</f>
        <v>12.44</v>
      </c>
      <c r="E387" t="str">
        <f>_xlfn.XLOOKUP(store_performance[[#This Row],[Store]],store_clean[Store],store_clean[StoreType],"Not Found")</f>
        <v>d</v>
      </c>
    </row>
    <row r="388" spans="1:5" x14ac:dyDescent="0.2">
      <c r="A388">
        <v>387</v>
      </c>
      <c r="B388" s="1">
        <v>9362.5900783289817</v>
      </c>
      <c r="C388" s="1">
        <v>1195.8015665796345</v>
      </c>
      <c r="D388">
        <f>ROUND(store_performance[[#This Row],[AverageSales]]/store_performance[[#This Row],[AverageCustomers]],2)</f>
        <v>7.83</v>
      </c>
      <c r="E388" t="str">
        <f>_xlfn.XLOOKUP(store_performance[[#This Row],[Store]],store_clean[Store],store_clean[StoreType],"Not Found")</f>
        <v>c</v>
      </c>
    </row>
    <row r="389" spans="1:5" x14ac:dyDescent="0.2">
      <c r="A389">
        <v>388</v>
      </c>
      <c r="B389" s="1">
        <v>10257.920410783056</v>
      </c>
      <c r="C389" s="1">
        <v>1096.4454428754814</v>
      </c>
      <c r="D389">
        <f>ROUND(store_performance[[#This Row],[AverageSales]]/store_performance[[#This Row],[AverageCustomers]],2)</f>
        <v>9.36</v>
      </c>
      <c r="E389" t="str">
        <f>_xlfn.XLOOKUP(store_performance[[#This Row],[Store]],store_clean[Store],store_clean[StoreType],"Not Found")</f>
        <v>a</v>
      </c>
    </row>
    <row r="390" spans="1:5" x14ac:dyDescent="0.2">
      <c r="A390">
        <v>389</v>
      </c>
      <c r="B390" s="1">
        <v>10337.401785714286</v>
      </c>
      <c r="C390" s="1">
        <v>1265.4107142857142</v>
      </c>
      <c r="D390">
        <f>ROUND(store_performance[[#This Row],[AverageSales]]/store_performance[[#This Row],[AverageCustomers]],2)</f>
        <v>8.17</v>
      </c>
      <c r="E390" t="str">
        <f>_xlfn.XLOOKUP(store_performance[[#This Row],[Store]],store_clean[Store],store_clean[StoreType],"Not Found")</f>
        <v>a</v>
      </c>
    </row>
    <row r="391" spans="1:5" x14ac:dyDescent="0.2">
      <c r="A391">
        <v>390</v>
      </c>
      <c r="B391" s="1">
        <v>11568.65641025641</v>
      </c>
      <c r="C391" s="1">
        <v>1067.3897435897436</v>
      </c>
      <c r="D391">
        <f>ROUND(store_performance[[#This Row],[AverageSales]]/store_performance[[#This Row],[AverageCustomers]],2)</f>
        <v>10.84</v>
      </c>
      <c r="E391" t="str">
        <f>_xlfn.XLOOKUP(store_performance[[#This Row],[Store]],store_clean[Store],store_clean[StoreType],"Not Found")</f>
        <v>a</v>
      </c>
    </row>
    <row r="392" spans="1:5" x14ac:dyDescent="0.2">
      <c r="A392">
        <v>391</v>
      </c>
      <c r="B392" s="1">
        <v>5719.555989583333</v>
      </c>
      <c r="C392" s="1">
        <v>690.52604166666663</v>
      </c>
      <c r="D392">
        <f>ROUND(store_performance[[#This Row],[AverageSales]]/store_performance[[#This Row],[AverageCustomers]],2)</f>
        <v>8.2799999999999994</v>
      </c>
      <c r="E392" t="str">
        <f>_xlfn.XLOOKUP(store_performance[[#This Row],[Store]],store_clean[Store],store_clean[StoreType],"Not Found")</f>
        <v>a</v>
      </c>
    </row>
    <row r="393" spans="1:5" x14ac:dyDescent="0.2">
      <c r="A393">
        <v>392</v>
      </c>
      <c r="B393" s="1">
        <v>7279.4287548138636</v>
      </c>
      <c r="C393" s="1">
        <v>718.08215661103975</v>
      </c>
      <c r="D393">
        <f>ROUND(store_performance[[#This Row],[AverageSales]]/store_performance[[#This Row],[AverageCustomers]],2)</f>
        <v>10.14</v>
      </c>
      <c r="E393" t="str">
        <f>_xlfn.XLOOKUP(store_performance[[#This Row],[Store]],store_clean[Store],store_clean[StoreType],"Not Found")</f>
        <v>a</v>
      </c>
    </row>
    <row r="394" spans="1:5" x14ac:dyDescent="0.2">
      <c r="A394">
        <v>393</v>
      </c>
      <c r="B394" s="1">
        <v>5903.0667522464701</v>
      </c>
      <c r="C394" s="1">
        <v>587.25673940949935</v>
      </c>
      <c r="D394">
        <f>ROUND(store_performance[[#This Row],[AverageSales]]/store_performance[[#This Row],[AverageCustomers]],2)</f>
        <v>10.050000000000001</v>
      </c>
      <c r="E394" t="str">
        <f>_xlfn.XLOOKUP(store_performance[[#This Row],[Store]],store_clean[Store],store_clean[StoreType],"Not Found")</f>
        <v>d</v>
      </c>
    </row>
    <row r="395" spans="1:5" x14ac:dyDescent="0.2">
      <c r="A395">
        <v>394</v>
      </c>
      <c r="B395" s="1">
        <v>8353.2458386683738</v>
      </c>
      <c r="C395" s="1">
        <v>661.87195902688859</v>
      </c>
      <c r="D395">
        <f>ROUND(store_performance[[#This Row],[AverageSales]]/store_performance[[#This Row],[AverageCustomers]],2)</f>
        <v>12.62</v>
      </c>
      <c r="E395" t="str">
        <f>_xlfn.XLOOKUP(store_performance[[#This Row],[Store]],store_clean[Store],store_clean[StoreType],"Not Found")</f>
        <v>d</v>
      </c>
    </row>
    <row r="396" spans="1:5" x14ac:dyDescent="0.2">
      <c r="A396">
        <v>395</v>
      </c>
      <c r="B396" s="1">
        <v>3989.1347881899874</v>
      </c>
      <c r="C396" s="1">
        <v>519.65468549422337</v>
      </c>
      <c r="D396">
        <f>ROUND(store_performance[[#This Row],[AverageSales]]/store_performance[[#This Row],[AverageCustomers]],2)</f>
        <v>7.68</v>
      </c>
      <c r="E396" t="str">
        <f>_xlfn.XLOOKUP(store_performance[[#This Row],[Store]],store_clean[Store],store_clean[StoreType],"Not Found")</f>
        <v>a</v>
      </c>
    </row>
    <row r="397" spans="1:5" x14ac:dyDescent="0.2">
      <c r="A397">
        <v>396</v>
      </c>
      <c r="B397" s="1">
        <v>10222.092307692308</v>
      </c>
      <c r="C397" s="1">
        <v>1077.9089743589743</v>
      </c>
      <c r="D397">
        <f>ROUND(store_performance[[#This Row],[AverageSales]]/store_performance[[#This Row],[AverageCustomers]],2)</f>
        <v>9.48</v>
      </c>
      <c r="E397" t="str">
        <f>_xlfn.XLOOKUP(store_performance[[#This Row],[Store]],store_clean[Store],store_clean[StoreType],"Not Found")</f>
        <v>a</v>
      </c>
    </row>
    <row r="398" spans="1:5" x14ac:dyDescent="0.2">
      <c r="A398">
        <v>397</v>
      </c>
      <c r="B398" s="1">
        <v>5574.8831835686779</v>
      </c>
      <c r="C398" s="1">
        <v>750.21566110397941</v>
      </c>
      <c r="D398">
        <f>ROUND(store_performance[[#This Row],[AverageSales]]/store_performance[[#This Row],[AverageCustomers]],2)</f>
        <v>7.43</v>
      </c>
      <c r="E398" t="str">
        <f>_xlfn.XLOOKUP(store_performance[[#This Row],[Store]],store_clean[Store],store_clean[StoreType],"Not Found")</f>
        <v>a</v>
      </c>
    </row>
    <row r="399" spans="1:5" x14ac:dyDescent="0.2">
      <c r="A399">
        <v>398</v>
      </c>
      <c r="B399" s="1">
        <v>5496.5229591836733</v>
      </c>
      <c r="C399" s="1">
        <v>614.61607142857144</v>
      </c>
      <c r="D399">
        <f>ROUND(store_performance[[#This Row],[AverageSales]]/store_performance[[#This Row],[AverageCustomers]],2)</f>
        <v>8.94</v>
      </c>
      <c r="E399" t="str">
        <f>_xlfn.XLOOKUP(store_performance[[#This Row],[Store]],store_clean[Store],store_clean[StoreType],"Not Found")</f>
        <v>c</v>
      </c>
    </row>
    <row r="400" spans="1:5" x14ac:dyDescent="0.2">
      <c r="A400">
        <v>399</v>
      </c>
      <c r="B400" s="1">
        <v>5558.8488745980703</v>
      </c>
      <c r="C400" s="1">
        <v>564.98231511254016</v>
      </c>
      <c r="D400">
        <f>ROUND(store_performance[[#This Row],[AverageSales]]/store_performance[[#This Row],[AverageCustomers]],2)</f>
        <v>9.84</v>
      </c>
      <c r="E400" t="str">
        <f>_xlfn.XLOOKUP(store_performance[[#This Row],[Store]],store_clean[Store],store_clean[StoreType],"Not Found")</f>
        <v>a</v>
      </c>
    </row>
    <row r="401" spans="1:5" x14ac:dyDescent="0.2">
      <c r="A401">
        <v>400</v>
      </c>
      <c r="B401" s="1">
        <v>8745.718670076727</v>
      </c>
      <c r="C401" s="1">
        <v>1200.6496163682864</v>
      </c>
      <c r="D401">
        <f>ROUND(store_performance[[#This Row],[AverageSales]]/store_performance[[#This Row],[AverageCustomers]],2)</f>
        <v>7.28</v>
      </c>
      <c r="E401" t="str">
        <f>_xlfn.XLOOKUP(store_performance[[#This Row],[Store]],store_clean[Store],store_clean[StoreType],"Not Found")</f>
        <v>a</v>
      </c>
    </row>
    <row r="402" spans="1:5" x14ac:dyDescent="0.2">
      <c r="A402">
        <v>401</v>
      </c>
      <c r="B402" s="1">
        <v>7026.5320512820517</v>
      </c>
      <c r="C402" s="1">
        <v>646.84487179487178</v>
      </c>
      <c r="D402">
        <f>ROUND(store_performance[[#This Row],[AverageSales]]/store_performance[[#This Row],[AverageCustomers]],2)</f>
        <v>10.86</v>
      </c>
      <c r="E402" t="str">
        <f>_xlfn.XLOOKUP(store_performance[[#This Row],[Store]],store_clean[Store],store_clean[StoreType],"Not Found")</f>
        <v>a</v>
      </c>
    </row>
    <row r="403" spans="1:5" x14ac:dyDescent="0.2">
      <c r="A403">
        <v>402</v>
      </c>
      <c r="B403" s="1">
        <v>5857.9910256410258</v>
      </c>
      <c r="C403" s="1">
        <v>615.42692307692312</v>
      </c>
      <c r="D403">
        <f>ROUND(store_performance[[#This Row],[AverageSales]]/store_performance[[#This Row],[AverageCustomers]],2)</f>
        <v>9.52</v>
      </c>
      <c r="E403" t="str">
        <f>_xlfn.XLOOKUP(store_performance[[#This Row],[Store]],store_clean[Store],store_clean[StoreType],"Not Found")</f>
        <v>c</v>
      </c>
    </row>
    <row r="404" spans="1:5" x14ac:dyDescent="0.2">
      <c r="A404">
        <v>403</v>
      </c>
      <c r="B404" s="1">
        <v>7468.5237483953788</v>
      </c>
      <c r="C404" s="1">
        <v>736.6867779204108</v>
      </c>
      <c r="D404">
        <f>ROUND(store_performance[[#This Row],[AverageSales]]/store_performance[[#This Row],[AverageCustomers]],2)</f>
        <v>10.14</v>
      </c>
      <c r="E404" t="str">
        <f>_xlfn.XLOOKUP(store_performance[[#This Row],[Store]],store_clean[Store],store_clean[StoreType],"Not Found")</f>
        <v>a</v>
      </c>
    </row>
    <row r="405" spans="1:5" x14ac:dyDescent="0.2">
      <c r="A405">
        <v>404</v>
      </c>
      <c r="B405" s="1">
        <v>4785.223978919631</v>
      </c>
      <c r="C405" s="1">
        <v>571.31093544137025</v>
      </c>
      <c r="D405">
        <f>ROUND(store_performance[[#This Row],[AverageSales]]/store_performance[[#This Row],[AverageCustomers]],2)</f>
        <v>8.3800000000000008</v>
      </c>
      <c r="E405" t="str">
        <f>_xlfn.XLOOKUP(store_performance[[#This Row],[Store]],store_clean[Store],store_clean[StoreType],"Not Found")</f>
        <v>a</v>
      </c>
    </row>
    <row r="406" spans="1:5" x14ac:dyDescent="0.2">
      <c r="A406">
        <v>405</v>
      </c>
      <c r="B406" s="1">
        <v>4520.6996148908856</v>
      </c>
      <c r="C406" s="1">
        <v>487.70346598202826</v>
      </c>
      <c r="D406">
        <f>ROUND(store_performance[[#This Row],[AverageSales]]/store_performance[[#This Row],[AverageCustomers]],2)</f>
        <v>9.27</v>
      </c>
      <c r="E406" t="str">
        <f>_xlfn.XLOOKUP(store_performance[[#This Row],[Store]],store_clean[Store],store_clean[StoreType],"Not Found")</f>
        <v>a</v>
      </c>
    </row>
    <row r="407" spans="1:5" x14ac:dyDescent="0.2">
      <c r="A407">
        <v>406</v>
      </c>
      <c r="B407" s="1">
        <v>6111.0590500641847</v>
      </c>
      <c r="C407" s="1">
        <v>474.06418485237486</v>
      </c>
      <c r="D407">
        <f>ROUND(store_performance[[#This Row],[AverageSales]]/store_performance[[#This Row],[AverageCustomers]],2)</f>
        <v>12.89</v>
      </c>
      <c r="E407" t="str">
        <f>_xlfn.XLOOKUP(store_performance[[#This Row],[Store]],store_clean[Store],store_clean[StoreType],"Not Found")</f>
        <v>d</v>
      </c>
    </row>
    <row r="408" spans="1:5" x14ac:dyDescent="0.2">
      <c r="A408">
        <v>407</v>
      </c>
      <c r="B408" s="1">
        <v>3886.7443729903539</v>
      </c>
      <c r="C408" s="1">
        <v>314.65434083601286</v>
      </c>
      <c r="D408">
        <f>ROUND(store_performance[[#This Row],[AverageSales]]/store_performance[[#This Row],[AverageCustomers]],2)</f>
        <v>12.35</v>
      </c>
      <c r="E408" t="str">
        <f>_xlfn.XLOOKUP(store_performance[[#This Row],[Store]],store_clean[Store],store_clean[StoreType],"Not Found")</f>
        <v>a</v>
      </c>
    </row>
    <row r="409" spans="1:5" x14ac:dyDescent="0.2">
      <c r="A409">
        <v>408</v>
      </c>
      <c r="B409" s="1">
        <v>4727.7747747747744</v>
      </c>
      <c r="C409" s="1">
        <v>465.06177606177607</v>
      </c>
      <c r="D409">
        <f>ROUND(store_performance[[#This Row],[AverageSales]]/store_performance[[#This Row],[AverageCustomers]],2)</f>
        <v>10.17</v>
      </c>
      <c r="E409" t="str">
        <f>_xlfn.XLOOKUP(store_performance[[#This Row],[Store]],store_clean[Store],store_clean[StoreType],"Not Found")</f>
        <v>c</v>
      </c>
    </row>
    <row r="410" spans="1:5" x14ac:dyDescent="0.2">
      <c r="A410">
        <v>409</v>
      </c>
      <c r="B410" s="1">
        <v>5527.3585147247122</v>
      </c>
      <c r="C410" s="1">
        <v>543.67605633802816</v>
      </c>
      <c r="D410">
        <f>ROUND(store_performance[[#This Row],[AverageSales]]/store_performance[[#This Row],[AverageCustomers]],2)</f>
        <v>10.17</v>
      </c>
      <c r="E410" t="str">
        <f>_xlfn.XLOOKUP(store_performance[[#This Row],[Store]],store_clean[Store],store_clean[StoreType],"Not Found")</f>
        <v>d</v>
      </c>
    </row>
    <row r="411" spans="1:5" x14ac:dyDescent="0.2">
      <c r="A411">
        <v>410</v>
      </c>
      <c r="B411" s="1">
        <v>6443.8780487804879</v>
      </c>
      <c r="C411" s="1">
        <v>802.20795892169451</v>
      </c>
      <c r="D411">
        <f>ROUND(store_performance[[#This Row],[AverageSales]]/store_performance[[#This Row],[AverageCustomers]],2)</f>
        <v>8.0299999999999994</v>
      </c>
      <c r="E411" t="str">
        <f>_xlfn.XLOOKUP(store_performance[[#This Row],[Store]],store_clean[Store],store_clean[StoreType],"Not Found")</f>
        <v>c</v>
      </c>
    </row>
    <row r="412" spans="1:5" x14ac:dyDescent="0.2">
      <c r="A412">
        <v>411</v>
      </c>
      <c r="B412" s="1">
        <v>9133.3649167733674</v>
      </c>
      <c r="C412" s="1">
        <v>700.84763124199742</v>
      </c>
      <c r="D412">
        <f>ROUND(store_performance[[#This Row],[AverageSales]]/store_performance[[#This Row],[AverageCustomers]],2)</f>
        <v>13.03</v>
      </c>
      <c r="E412" t="str">
        <f>_xlfn.XLOOKUP(store_performance[[#This Row],[Store]],store_clean[Store],store_clean[StoreType],"Not Found")</f>
        <v>d</v>
      </c>
    </row>
    <row r="413" spans="1:5" x14ac:dyDescent="0.2">
      <c r="A413">
        <v>412</v>
      </c>
      <c r="B413" s="1">
        <v>9102.1221864951767</v>
      </c>
      <c r="C413" s="1">
        <v>644.71543408360128</v>
      </c>
      <c r="D413">
        <f>ROUND(store_performance[[#This Row],[AverageSales]]/store_performance[[#This Row],[AverageCustomers]],2)</f>
        <v>14.12</v>
      </c>
      <c r="E413" t="str">
        <f>_xlfn.XLOOKUP(store_performance[[#This Row],[Store]],store_clean[Store],store_clean[StoreType],"Not Found")</f>
        <v>d</v>
      </c>
    </row>
    <row r="414" spans="1:5" x14ac:dyDescent="0.2">
      <c r="A414">
        <v>413</v>
      </c>
      <c r="B414" s="1">
        <v>7058.2170418006435</v>
      </c>
      <c r="C414" s="1">
        <v>890.01929260450163</v>
      </c>
      <c r="D414">
        <f>ROUND(store_performance[[#This Row],[AverageSales]]/store_performance[[#This Row],[AverageCustomers]],2)</f>
        <v>7.93</v>
      </c>
      <c r="E414" t="str">
        <f>_xlfn.XLOOKUP(store_performance[[#This Row],[Store]],store_clean[Store],store_clean[StoreType],"Not Found")</f>
        <v>a</v>
      </c>
    </row>
    <row r="415" spans="1:5" x14ac:dyDescent="0.2">
      <c r="A415">
        <v>414</v>
      </c>
      <c r="B415" s="1">
        <v>6427.9769526248401</v>
      </c>
      <c r="C415" s="1">
        <v>484.14084507042253</v>
      </c>
      <c r="D415">
        <f>ROUND(store_performance[[#This Row],[AverageSales]]/store_performance[[#This Row],[AverageCustomers]],2)</f>
        <v>13.28</v>
      </c>
      <c r="E415" t="str">
        <f>_xlfn.XLOOKUP(store_performance[[#This Row],[Store]],store_clean[Store],store_clean[StoreType],"Not Found")</f>
        <v>d</v>
      </c>
    </row>
    <row r="416" spans="1:5" x14ac:dyDescent="0.2">
      <c r="A416">
        <v>415</v>
      </c>
      <c r="B416" s="1">
        <v>6234.8346153846151</v>
      </c>
      <c r="C416" s="1">
        <v>521.28076923076924</v>
      </c>
      <c r="D416">
        <f>ROUND(store_performance[[#This Row],[AverageSales]]/store_performance[[#This Row],[AverageCustomers]],2)</f>
        <v>11.96</v>
      </c>
      <c r="E416" t="str">
        <f>_xlfn.XLOOKUP(store_performance[[#This Row],[Store]],store_clean[Store],store_clean[StoreType],"Not Found")</f>
        <v>d</v>
      </c>
    </row>
    <row r="417" spans="1:5" x14ac:dyDescent="0.2">
      <c r="A417">
        <v>416</v>
      </c>
      <c r="B417" s="1">
        <v>11012.006377551021</v>
      </c>
      <c r="C417" s="1">
        <v>1398.3890306122448</v>
      </c>
      <c r="D417">
        <f>ROUND(store_performance[[#This Row],[AverageSales]]/store_performance[[#This Row],[AverageCustomers]],2)</f>
        <v>7.87</v>
      </c>
      <c r="E417" t="str">
        <f>_xlfn.XLOOKUP(store_performance[[#This Row],[Store]],store_clean[Store],store_clean[StoreType],"Not Found")</f>
        <v>a</v>
      </c>
    </row>
    <row r="418" spans="1:5" x14ac:dyDescent="0.2">
      <c r="A418">
        <v>417</v>
      </c>
      <c r="B418" s="1">
        <v>7633.2811296534019</v>
      </c>
      <c r="C418" s="1">
        <v>804.00256739409497</v>
      </c>
      <c r="D418">
        <f>ROUND(store_performance[[#This Row],[AverageSales]]/store_performance[[#This Row],[AverageCustomers]],2)</f>
        <v>9.49</v>
      </c>
      <c r="E418" t="str">
        <f>_xlfn.XLOOKUP(store_performance[[#This Row],[Store]],store_clean[Store],store_clean[StoreType],"Not Found")</f>
        <v>a</v>
      </c>
    </row>
    <row r="419" spans="1:5" x14ac:dyDescent="0.2">
      <c r="A419">
        <v>418</v>
      </c>
      <c r="B419" s="1">
        <v>5275.8518041237112</v>
      </c>
      <c r="C419" s="1">
        <v>551.55283505154637</v>
      </c>
      <c r="D419">
        <f>ROUND(store_performance[[#This Row],[AverageSales]]/store_performance[[#This Row],[AverageCustomers]],2)</f>
        <v>9.57</v>
      </c>
      <c r="E419" t="str">
        <f>_xlfn.XLOOKUP(store_performance[[#This Row],[Store]],store_clean[Store],store_clean[StoreType],"Not Found")</f>
        <v>a</v>
      </c>
    </row>
    <row r="420" spans="1:5" x14ac:dyDescent="0.2">
      <c r="A420">
        <v>419</v>
      </c>
      <c r="B420" s="1">
        <v>5311.158163265306</v>
      </c>
      <c r="C420" s="1">
        <v>852.0612244897959</v>
      </c>
      <c r="D420">
        <f>ROUND(store_performance[[#This Row],[AverageSales]]/store_performance[[#This Row],[AverageCustomers]],2)</f>
        <v>6.23</v>
      </c>
      <c r="E420" t="str">
        <f>_xlfn.XLOOKUP(store_performance[[#This Row],[Store]],store_clean[Store],store_clean[StoreType],"Not Found")</f>
        <v>c</v>
      </c>
    </row>
    <row r="421" spans="1:5" x14ac:dyDescent="0.2">
      <c r="A421">
        <v>420</v>
      </c>
      <c r="B421" s="1">
        <v>4540.3408360128615</v>
      </c>
      <c r="C421" s="1">
        <v>403.18971061093248</v>
      </c>
      <c r="D421">
        <f>ROUND(store_performance[[#This Row],[AverageSales]]/store_performance[[#This Row],[AverageCustomers]],2)</f>
        <v>11.26</v>
      </c>
      <c r="E421" t="str">
        <f>_xlfn.XLOOKUP(store_performance[[#This Row],[Store]],store_clean[Store],store_clean[StoreType],"Not Found")</f>
        <v>d</v>
      </c>
    </row>
    <row r="422" spans="1:5" x14ac:dyDescent="0.2">
      <c r="A422">
        <v>421</v>
      </c>
      <c r="B422" s="1">
        <v>9588.2512755102034</v>
      </c>
      <c r="C422" s="1">
        <v>1014.390306122449</v>
      </c>
      <c r="D422">
        <f>ROUND(store_performance[[#This Row],[AverageSales]]/store_performance[[#This Row],[AverageCustomers]],2)</f>
        <v>9.4499999999999993</v>
      </c>
      <c r="E422" t="str">
        <f>_xlfn.XLOOKUP(store_performance[[#This Row],[Store]],store_clean[Store],store_clean[StoreType],"Not Found")</f>
        <v>c</v>
      </c>
    </row>
    <row r="423" spans="1:5" x14ac:dyDescent="0.2">
      <c r="A423">
        <v>422</v>
      </c>
      <c r="B423" s="1">
        <v>4559.0599489795923</v>
      </c>
      <c r="C423" s="1">
        <v>464.52295918367349</v>
      </c>
      <c r="D423">
        <f>ROUND(store_performance[[#This Row],[AverageSales]]/store_performance[[#This Row],[AverageCustomers]],2)</f>
        <v>9.81</v>
      </c>
      <c r="E423" t="str">
        <f>_xlfn.XLOOKUP(store_performance[[#This Row],[Store]],store_clean[Store],store_clean[StoreType],"Not Found")</f>
        <v>a</v>
      </c>
    </row>
    <row r="424" spans="1:5" x14ac:dyDescent="0.2">
      <c r="A424">
        <v>423</v>
      </c>
      <c r="B424" s="1">
        <v>10828.403397027601</v>
      </c>
      <c r="C424" s="1">
        <v>1886.1305732484077</v>
      </c>
      <c r="D424">
        <f>ROUND(store_performance[[#This Row],[AverageSales]]/store_performance[[#This Row],[AverageCustomers]],2)</f>
        <v>5.74</v>
      </c>
      <c r="E424" t="str">
        <f>_xlfn.XLOOKUP(store_performance[[#This Row],[Store]],store_clean[Store],store_clean[StoreType],"Not Found")</f>
        <v>b</v>
      </c>
    </row>
    <row r="425" spans="1:5" x14ac:dyDescent="0.2">
      <c r="A425">
        <v>424</v>
      </c>
      <c r="B425" s="1">
        <v>6925.7560975609758</v>
      </c>
      <c r="C425" s="1">
        <v>773.42105263157896</v>
      </c>
      <c r="D425">
        <f>ROUND(store_performance[[#This Row],[AverageSales]]/store_performance[[#This Row],[AverageCustomers]],2)</f>
        <v>8.9499999999999993</v>
      </c>
      <c r="E425" t="str">
        <f>_xlfn.XLOOKUP(store_performance[[#This Row],[Store]],store_clean[Store],store_clean[StoreType],"Not Found")</f>
        <v>d</v>
      </c>
    </row>
    <row r="426" spans="1:5" x14ac:dyDescent="0.2">
      <c r="A426">
        <v>425</v>
      </c>
      <c r="B426" s="1">
        <v>3237.6597938144332</v>
      </c>
      <c r="C426" s="1">
        <v>434.38144329896909</v>
      </c>
      <c r="D426">
        <f>ROUND(store_performance[[#This Row],[AverageSales]]/store_performance[[#This Row],[AverageCustomers]],2)</f>
        <v>7.45</v>
      </c>
      <c r="E426" t="str">
        <f>_xlfn.XLOOKUP(store_performance[[#This Row],[Store]],store_clean[Store],store_clean[StoreType],"Not Found")</f>
        <v>d</v>
      </c>
    </row>
    <row r="427" spans="1:5" x14ac:dyDescent="0.2">
      <c r="A427">
        <v>426</v>
      </c>
      <c r="B427" s="1">
        <v>5068.3966623876768</v>
      </c>
      <c r="C427" s="1">
        <v>633.83953786906295</v>
      </c>
      <c r="D427">
        <f>ROUND(store_performance[[#This Row],[AverageSales]]/store_performance[[#This Row],[AverageCustomers]],2)</f>
        <v>8</v>
      </c>
      <c r="E427" t="str">
        <f>_xlfn.XLOOKUP(store_performance[[#This Row],[Store]],store_clean[Store],store_clean[StoreType],"Not Found")</f>
        <v>a</v>
      </c>
    </row>
    <row r="428" spans="1:5" x14ac:dyDescent="0.2">
      <c r="A428">
        <v>427</v>
      </c>
      <c r="B428" s="1">
        <v>7643.2439807383626</v>
      </c>
      <c r="C428" s="1">
        <v>771.09309791332259</v>
      </c>
      <c r="D428">
        <f>ROUND(store_performance[[#This Row],[AverageSales]]/store_performance[[#This Row],[AverageCustomers]],2)</f>
        <v>9.91</v>
      </c>
      <c r="E428" t="str">
        <f>_xlfn.XLOOKUP(store_performance[[#This Row],[Store]],store_clean[Store],store_clean[StoreType],"Not Found")</f>
        <v>a</v>
      </c>
    </row>
    <row r="429" spans="1:5" x14ac:dyDescent="0.2">
      <c r="A429">
        <v>428</v>
      </c>
      <c r="B429" s="1">
        <v>6287.5048231511255</v>
      </c>
      <c r="C429" s="1">
        <v>526.57556270096461</v>
      </c>
      <c r="D429">
        <f>ROUND(store_performance[[#This Row],[AverageSales]]/store_performance[[#This Row],[AverageCustomers]],2)</f>
        <v>11.94</v>
      </c>
      <c r="E429" t="str">
        <f>_xlfn.XLOOKUP(store_performance[[#This Row],[Store]],store_clean[Store],store_clean[StoreType],"Not Found")</f>
        <v>d</v>
      </c>
    </row>
    <row r="430" spans="1:5" x14ac:dyDescent="0.2">
      <c r="A430">
        <v>429</v>
      </c>
      <c r="B430" s="1">
        <v>5321.144694533762</v>
      </c>
      <c r="C430" s="1">
        <v>429.42604501607718</v>
      </c>
      <c r="D430">
        <f>ROUND(store_performance[[#This Row],[AverageSales]]/store_performance[[#This Row],[AverageCustomers]],2)</f>
        <v>12.39</v>
      </c>
      <c r="E430" t="str">
        <f>_xlfn.XLOOKUP(store_performance[[#This Row],[Store]],store_clean[Store],store_clean[StoreType],"Not Found")</f>
        <v>d</v>
      </c>
    </row>
    <row r="431" spans="1:5" x14ac:dyDescent="0.2">
      <c r="A431">
        <v>430</v>
      </c>
      <c r="B431" s="1">
        <v>8632.471061093247</v>
      </c>
      <c r="C431" s="1">
        <v>699.91318327974273</v>
      </c>
      <c r="D431">
        <f>ROUND(store_performance[[#This Row],[AverageSales]]/store_performance[[#This Row],[AverageCustomers]],2)</f>
        <v>12.33</v>
      </c>
      <c r="E431" t="str">
        <f>_xlfn.XLOOKUP(store_performance[[#This Row],[Store]],store_clean[Store],store_clean[StoreType],"Not Found")</f>
        <v>d</v>
      </c>
    </row>
    <row r="432" spans="1:5" x14ac:dyDescent="0.2">
      <c r="A432">
        <v>431</v>
      </c>
      <c r="B432" s="1">
        <v>9524.9268292682918</v>
      </c>
      <c r="C432" s="1">
        <v>1002.4544287548139</v>
      </c>
      <c r="D432">
        <f>ROUND(store_performance[[#This Row],[AverageSales]]/store_performance[[#This Row],[AverageCustomers]],2)</f>
        <v>9.5</v>
      </c>
      <c r="E432" t="str">
        <f>_xlfn.XLOOKUP(store_performance[[#This Row],[Store]],store_clean[Store],store_clean[StoreType],"Not Found")</f>
        <v>d</v>
      </c>
    </row>
    <row r="433" spans="1:5" x14ac:dyDescent="0.2">
      <c r="A433">
        <v>432</v>
      </c>
      <c r="B433" s="1">
        <v>10982.871173469388</v>
      </c>
      <c r="C433" s="1">
        <v>1554.7283163265306</v>
      </c>
      <c r="D433">
        <f>ROUND(store_performance[[#This Row],[AverageSales]]/store_performance[[#This Row],[AverageCustomers]],2)</f>
        <v>7.06</v>
      </c>
      <c r="E433" t="str">
        <f>_xlfn.XLOOKUP(store_performance[[#This Row],[Store]],store_clean[Store],store_clean[StoreType],"Not Found")</f>
        <v>a</v>
      </c>
    </row>
    <row r="434" spans="1:5" x14ac:dyDescent="0.2">
      <c r="A434">
        <v>433</v>
      </c>
      <c r="B434" s="1">
        <v>5360.865429234339</v>
      </c>
      <c r="C434" s="1">
        <v>615.73317865429237</v>
      </c>
      <c r="D434">
        <f>ROUND(store_performance[[#This Row],[AverageSales]]/store_performance[[#This Row],[AverageCustomers]],2)</f>
        <v>8.7100000000000009</v>
      </c>
      <c r="E434" t="str">
        <f>_xlfn.XLOOKUP(store_performance[[#This Row],[Store]],store_clean[Store],store_clean[StoreType],"Not Found")</f>
        <v>a</v>
      </c>
    </row>
    <row r="435" spans="1:5" x14ac:dyDescent="0.2">
      <c r="A435">
        <v>434</v>
      </c>
      <c r="B435" s="1">
        <v>9904.8231511254016</v>
      </c>
      <c r="C435" s="1">
        <v>741.6591639871383</v>
      </c>
      <c r="D435">
        <f>ROUND(store_performance[[#This Row],[AverageSales]]/store_performance[[#This Row],[AverageCustomers]],2)</f>
        <v>13.35</v>
      </c>
      <c r="E435" t="str">
        <f>_xlfn.XLOOKUP(store_performance[[#This Row],[Store]],store_clean[Store],store_clean[StoreType],"Not Found")</f>
        <v>a</v>
      </c>
    </row>
    <row r="436" spans="1:5" x14ac:dyDescent="0.2">
      <c r="A436">
        <v>435</v>
      </c>
      <c r="B436" s="1">
        <v>3277.6919127086007</v>
      </c>
      <c r="C436" s="1">
        <v>384.16302952503207</v>
      </c>
      <c r="D436">
        <f>ROUND(store_performance[[#This Row],[AverageSales]]/store_performance[[#This Row],[AverageCustomers]],2)</f>
        <v>8.5299999999999994</v>
      </c>
      <c r="E436" t="str">
        <f>_xlfn.XLOOKUP(store_performance[[#This Row],[Store]],store_clean[Store],store_clean[StoreType],"Not Found")</f>
        <v>a</v>
      </c>
    </row>
    <row r="437" spans="1:5" x14ac:dyDescent="0.2">
      <c r="A437">
        <v>436</v>
      </c>
      <c r="B437" s="1">
        <v>5509.4846153846156</v>
      </c>
      <c r="C437" s="1">
        <v>616.74102564102566</v>
      </c>
      <c r="D437">
        <f>ROUND(store_performance[[#This Row],[AverageSales]]/store_performance[[#This Row],[AverageCustomers]],2)</f>
        <v>8.93</v>
      </c>
      <c r="E437" t="str">
        <f>_xlfn.XLOOKUP(store_performance[[#This Row],[Store]],store_clean[Store],store_clean[StoreType],"Not Found")</f>
        <v>d</v>
      </c>
    </row>
    <row r="438" spans="1:5" x14ac:dyDescent="0.2">
      <c r="A438">
        <v>437</v>
      </c>
      <c r="B438" s="1">
        <v>7366.7179487179483</v>
      </c>
      <c r="C438" s="1">
        <v>726.9448717948718</v>
      </c>
      <c r="D438">
        <f>ROUND(store_performance[[#This Row],[AverageSales]]/store_performance[[#This Row],[AverageCustomers]],2)</f>
        <v>10.130000000000001</v>
      </c>
      <c r="E438" t="str">
        <f>_xlfn.XLOOKUP(store_performance[[#This Row],[Store]],store_clean[Store],store_clean[StoreType],"Not Found")</f>
        <v>c</v>
      </c>
    </row>
    <row r="439" spans="1:5" x14ac:dyDescent="0.2">
      <c r="A439">
        <v>438</v>
      </c>
      <c r="B439" s="1">
        <v>5153.7230769230773</v>
      </c>
      <c r="C439" s="1">
        <v>524.32692307692309</v>
      </c>
      <c r="D439">
        <f>ROUND(store_performance[[#This Row],[AverageSales]]/store_performance[[#This Row],[AverageCustomers]],2)</f>
        <v>9.83</v>
      </c>
      <c r="E439" t="str">
        <f>_xlfn.XLOOKUP(store_performance[[#This Row],[Store]],store_clean[Store],store_clean[StoreType],"Not Found")</f>
        <v>d</v>
      </c>
    </row>
    <row r="440" spans="1:5" x14ac:dyDescent="0.2">
      <c r="A440">
        <v>439</v>
      </c>
      <c r="B440" s="1">
        <v>7294.9426020408164</v>
      </c>
      <c r="C440" s="1">
        <v>885.13647959183675</v>
      </c>
      <c r="D440">
        <f>ROUND(store_performance[[#This Row],[AverageSales]]/store_performance[[#This Row],[AverageCustomers]],2)</f>
        <v>8.24</v>
      </c>
      <c r="E440" t="str">
        <f>_xlfn.XLOOKUP(store_performance[[#This Row],[Store]],store_clean[Store],store_clean[StoreType],"Not Found")</f>
        <v>a</v>
      </c>
    </row>
    <row r="441" spans="1:5" x14ac:dyDescent="0.2">
      <c r="A441">
        <v>440</v>
      </c>
      <c r="B441" s="1">
        <v>5156.0785070785068</v>
      </c>
      <c r="C441" s="1">
        <v>588.96267696267694</v>
      </c>
      <c r="D441">
        <f>ROUND(store_performance[[#This Row],[AverageSales]]/store_performance[[#This Row],[AverageCustomers]],2)</f>
        <v>8.75</v>
      </c>
      <c r="E441" t="str">
        <f>_xlfn.XLOOKUP(store_performance[[#This Row],[Store]],store_clean[Store],store_clean[StoreType],"Not Found")</f>
        <v>d</v>
      </c>
    </row>
    <row r="442" spans="1:5" x14ac:dyDescent="0.2">
      <c r="A442">
        <v>441</v>
      </c>
      <c r="B442" s="1">
        <v>6328.3517329910137</v>
      </c>
      <c r="C442" s="1">
        <v>699.65340179717589</v>
      </c>
      <c r="D442">
        <f>ROUND(store_performance[[#This Row],[AverageSales]]/store_performance[[#This Row],[AverageCustomers]],2)</f>
        <v>9.0399999999999991</v>
      </c>
      <c r="E442" t="str">
        <f>_xlfn.XLOOKUP(store_performance[[#This Row],[Store]],store_clean[Store],store_clean[StoreType],"Not Found")</f>
        <v>d</v>
      </c>
    </row>
    <row r="443" spans="1:5" x14ac:dyDescent="0.2">
      <c r="A443">
        <v>442</v>
      </c>
      <c r="B443" s="1">
        <v>4379.133848133848</v>
      </c>
      <c r="C443" s="1">
        <v>461.33590733590734</v>
      </c>
      <c r="D443">
        <f>ROUND(store_performance[[#This Row],[AverageSales]]/store_performance[[#This Row],[AverageCustomers]],2)</f>
        <v>9.49</v>
      </c>
      <c r="E443" t="str">
        <f>_xlfn.XLOOKUP(store_performance[[#This Row],[Store]],store_clean[Store],store_clean[StoreType],"Not Found")</f>
        <v>c</v>
      </c>
    </row>
    <row r="444" spans="1:5" x14ac:dyDescent="0.2">
      <c r="A444">
        <v>443</v>
      </c>
      <c r="B444" s="1">
        <v>5251.0961538461543</v>
      </c>
      <c r="C444" s="1">
        <v>488.85512820512821</v>
      </c>
      <c r="D444">
        <f>ROUND(store_performance[[#This Row],[AverageSales]]/store_performance[[#This Row],[AverageCustomers]],2)</f>
        <v>10.74</v>
      </c>
      <c r="E444" t="str">
        <f>_xlfn.XLOOKUP(store_performance[[#This Row],[Store]],store_clean[Store],store_clean[StoreType],"Not Found")</f>
        <v>d</v>
      </c>
    </row>
    <row r="445" spans="1:5" x14ac:dyDescent="0.2">
      <c r="A445">
        <v>444</v>
      </c>
      <c r="B445" s="1">
        <v>12188.706563706564</v>
      </c>
      <c r="C445" s="1">
        <v>1423.1209781209782</v>
      </c>
      <c r="D445">
        <f>ROUND(store_performance[[#This Row],[AverageSales]]/store_performance[[#This Row],[AverageCustomers]],2)</f>
        <v>8.56</v>
      </c>
      <c r="E445" t="str">
        <f>_xlfn.XLOOKUP(store_performance[[#This Row],[Store]],store_clean[Store],store_clean[StoreType],"Not Found")</f>
        <v>c</v>
      </c>
    </row>
    <row r="446" spans="1:5" x14ac:dyDescent="0.2">
      <c r="A446">
        <v>445</v>
      </c>
      <c r="B446" s="1">
        <v>8600.1507731958754</v>
      </c>
      <c r="C446" s="1">
        <v>1356.8659793814434</v>
      </c>
      <c r="D446">
        <f>ROUND(store_performance[[#This Row],[AverageSales]]/store_performance[[#This Row],[AverageCustomers]],2)</f>
        <v>6.34</v>
      </c>
      <c r="E446" t="str">
        <f>_xlfn.XLOOKUP(store_performance[[#This Row],[Store]],store_clean[Store],store_clean[StoreType],"Not Found")</f>
        <v>a</v>
      </c>
    </row>
    <row r="447" spans="1:5" x14ac:dyDescent="0.2">
      <c r="A447">
        <v>446</v>
      </c>
      <c r="B447" s="1">
        <v>4932.165596919127</v>
      </c>
      <c r="C447" s="1">
        <v>635.05648267008985</v>
      </c>
      <c r="D447">
        <f>ROUND(store_performance[[#This Row],[AverageSales]]/store_performance[[#This Row],[AverageCustomers]],2)</f>
        <v>7.77</v>
      </c>
      <c r="E447" t="str">
        <f>_xlfn.XLOOKUP(store_performance[[#This Row],[Store]],store_clean[Store],store_clean[StoreType],"Not Found")</f>
        <v>a</v>
      </c>
    </row>
    <row r="448" spans="1:5" x14ac:dyDescent="0.2">
      <c r="A448">
        <v>447</v>
      </c>
      <c r="B448" s="1">
        <v>5307.6224489795923</v>
      </c>
      <c r="C448" s="1">
        <v>619.39158163265301</v>
      </c>
      <c r="D448">
        <f>ROUND(store_performance[[#This Row],[AverageSales]]/store_performance[[#This Row],[AverageCustomers]],2)</f>
        <v>8.57</v>
      </c>
      <c r="E448" t="str">
        <f>_xlfn.XLOOKUP(store_performance[[#This Row],[Store]],store_clean[Store],store_clean[StoreType],"Not Found")</f>
        <v>a</v>
      </c>
    </row>
    <row r="449" spans="1:5" x14ac:dyDescent="0.2">
      <c r="A449">
        <v>448</v>
      </c>
      <c r="B449" s="1">
        <v>8484.0654685494228</v>
      </c>
      <c r="C449" s="1">
        <v>741.9216944801027</v>
      </c>
      <c r="D449">
        <f>ROUND(store_performance[[#This Row],[AverageSales]]/store_performance[[#This Row],[AverageCustomers]],2)</f>
        <v>11.44</v>
      </c>
      <c r="E449" t="str">
        <f>_xlfn.XLOOKUP(store_performance[[#This Row],[Store]],store_clean[Store],store_clean[StoreType],"Not Found")</f>
        <v>a</v>
      </c>
    </row>
    <row r="450" spans="1:5" x14ac:dyDescent="0.2">
      <c r="A450">
        <v>449</v>
      </c>
      <c r="B450" s="1">
        <v>11253.74647887324</v>
      </c>
      <c r="C450" s="1">
        <v>1534.9308578745199</v>
      </c>
      <c r="D450">
        <f>ROUND(store_performance[[#This Row],[AverageSales]]/store_performance[[#This Row],[AverageCustomers]],2)</f>
        <v>7.33</v>
      </c>
      <c r="E450" t="str">
        <f>_xlfn.XLOOKUP(store_performance[[#This Row],[Store]],store_clean[Store],store_clean[StoreType],"Not Found")</f>
        <v>a</v>
      </c>
    </row>
    <row r="451" spans="1:5" x14ac:dyDescent="0.2">
      <c r="A451">
        <v>450</v>
      </c>
      <c r="B451" s="1">
        <v>8790.5135135135133</v>
      </c>
      <c r="C451" s="1">
        <v>1089.900900900901</v>
      </c>
      <c r="D451">
        <f>ROUND(store_performance[[#This Row],[AverageSales]]/store_performance[[#This Row],[AverageCustomers]],2)</f>
        <v>8.07</v>
      </c>
      <c r="E451" t="str">
        <f>_xlfn.XLOOKUP(store_performance[[#This Row],[Store]],store_clean[Store],store_clean[StoreType],"Not Found")</f>
        <v>c</v>
      </c>
    </row>
    <row r="452" spans="1:5" x14ac:dyDescent="0.2">
      <c r="A452">
        <v>451</v>
      </c>
      <c r="B452" s="1">
        <v>5439.3239436619715</v>
      </c>
      <c r="C452" s="1">
        <v>458.66325224071704</v>
      </c>
      <c r="D452">
        <f>ROUND(store_performance[[#This Row],[AverageSales]]/store_performance[[#This Row],[AverageCustomers]],2)</f>
        <v>11.86</v>
      </c>
      <c r="E452" t="str">
        <f>_xlfn.XLOOKUP(store_performance[[#This Row],[Store]],store_clean[Store],store_clean[StoreType],"Not Found")</f>
        <v>a</v>
      </c>
    </row>
    <row r="453" spans="1:5" x14ac:dyDescent="0.2">
      <c r="A453">
        <v>452</v>
      </c>
      <c r="B453" s="1">
        <v>5149.841836734694</v>
      </c>
      <c r="C453" s="1">
        <v>478.32525510204084</v>
      </c>
      <c r="D453">
        <f>ROUND(store_performance[[#This Row],[AverageSales]]/store_performance[[#This Row],[AverageCustomers]],2)</f>
        <v>10.77</v>
      </c>
      <c r="E453" t="str">
        <f>_xlfn.XLOOKUP(store_performance[[#This Row],[Store]],store_clean[Store],store_clean[StoreType],"Not Found")</f>
        <v>a</v>
      </c>
    </row>
    <row r="454" spans="1:5" x14ac:dyDescent="0.2">
      <c r="A454">
        <v>453</v>
      </c>
      <c r="B454" s="1">
        <v>7775.4464487034948</v>
      </c>
      <c r="C454" s="1">
        <v>914.57497181510712</v>
      </c>
      <c r="D454">
        <f>ROUND(store_performance[[#This Row],[AverageSales]]/store_performance[[#This Row],[AverageCustomers]],2)</f>
        <v>8.5</v>
      </c>
      <c r="E454" t="str">
        <f>_xlfn.XLOOKUP(store_performance[[#This Row],[Store]],store_clean[Store],store_clean[StoreType],"Not Found")</f>
        <v>a</v>
      </c>
    </row>
    <row r="455" spans="1:5" x14ac:dyDescent="0.2">
      <c r="A455">
        <v>454</v>
      </c>
      <c r="B455" s="1">
        <v>5794.123076923077</v>
      </c>
      <c r="C455" s="1">
        <v>706.58333333333337</v>
      </c>
      <c r="D455">
        <f>ROUND(store_performance[[#This Row],[AverageSales]]/store_performance[[#This Row],[AverageCustomers]],2)</f>
        <v>8.1999999999999993</v>
      </c>
      <c r="E455" t="str">
        <f>_xlfn.XLOOKUP(store_performance[[#This Row],[Store]],store_clean[Store],store_clean[StoreType],"Not Found")</f>
        <v>a</v>
      </c>
    </row>
    <row r="456" spans="1:5" x14ac:dyDescent="0.2">
      <c r="A456">
        <v>455</v>
      </c>
      <c r="B456" s="1">
        <v>7371.3912483912482</v>
      </c>
      <c r="C456" s="1">
        <v>463.23423423423424</v>
      </c>
      <c r="D456">
        <f>ROUND(store_performance[[#This Row],[AverageSales]]/store_performance[[#This Row],[AverageCustomers]],2)</f>
        <v>15.91</v>
      </c>
      <c r="E456" t="str">
        <f>_xlfn.XLOOKUP(store_performance[[#This Row],[Store]],store_clean[Store],store_clean[StoreType],"Not Found")</f>
        <v>d</v>
      </c>
    </row>
    <row r="457" spans="1:5" x14ac:dyDescent="0.2">
      <c r="A457">
        <v>456</v>
      </c>
      <c r="B457" s="1">
        <v>6190.5609756097565</v>
      </c>
      <c r="C457" s="1">
        <v>895.31964056482673</v>
      </c>
      <c r="D457">
        <f>ROUND(store_performance[[#This Row],[AverageSales]]/store_performance[[#This Row],[AverageCustomers]],2)</f>
        <v>6.91</v>
      </c>
      <c r="E457" t="str">
        <f>_xlfn.XLOOKUP(store_performance[[#This Row],[Store]],store_clean[Store],store_clean[StoreType],"Not Found")</f>
        <v>a</v>
      </c>
    </row>
    <row r="458" spans="1:5" x14ac:dyDescent="0.2">
      <c r="A458">
        <v>457</v>
      </c>
      <c r="B458" s="1">
        <v>4840.5530546623795</v>
      </c>
      <c r="C458" s="1">
        <v>432.68971061093248</v>
      </c>
      <c r="D458">
        <f>ROUND(store_performance[[#This Row],[AverageSales]]/store_performance[[#This Row],[AverageCustomers]],2)</f>
        <v>11.19</v>
      </c>
      <c r="E458" t="str">
        <f>_xlfn.XLOOKUP(store_performance[[#This Row],[Store]],store_clean[Store],store_clean[StoreType],"Not Found")</f>
        <v>d</v>
      </c>
    </row>
    <row r="459" spans="1:5" x14ac:dyDescent="0.2">
      <c r="A459">
        <v>458</v>
      </c>
      <c r="B459" s="1">
        <v>7582.1177976952622</v>
      </c>
      <c r="C459" s="1">
        <v>702.67221510883485</v>
      </c>
      <c r="D459">
        <f>ROUND(store_performance[[#This Row],[AverageSales]]/store_performance[[#This Row],[AverageCustomers]],2)</f>
        <v>10.79</v>
      </c>
      <c r="E459" t="str">
        <f>_xlfn.XLOOKUP(store_performance[[#This Row],[Store]],store_clean[Store],store_clean[StoreType],"Not Found")</f>
        <v>c</v>
      </c>
    </row>
    <row r="460" spans="1:5" x14ac:dyDescent="0.2">
      <c r="A460">
        <v>459</v>
      </c>
      <c r="B460" s="1">
        <v>9176.75</v>
      </c>
      <c r="C460" s="1">
        <v>1130.2015306122448</v>
      </c>
      <c r="D460">
        <f>ROUND(store_performance[[#This Row],[AverageSales]]/store_performance[[#This Row],[AverageCustomers]],2)</f>
        <v>8.1199999999999992</v>
      </c>
      <c r="E460" t="str">
        <f>_xlfn.XLOOKUP(store_performance[[#This Row],[Store]],store_clean[Store],store_clean[StoreType],"Not Found")</f>
        <v>a</v>
      </c>
    </row>
    <row r="461" spans="1:5" x14ac:dyDescent="0.2">
      <c r="A461">
        <v>460</v>
      </c>
      <c r="B461" s="1">
        <v>3736.0089743589742</v>
      </c>
      <c r="C461" s="1">
        <v>345.28076923076924</v>
      </c>
      <c r="D461">
        <f>ROUND(store_performance[[#This Row],[AverageSales]]/store_performance[[#This Row],[AverageCustomers]],2)</f>
        <v>10.82</v>
      </c>
      <c r="E461" t="str">
        <f>_xlfn.XLOOKUP(store_performance[[#This Row],[Store]],store_clean[Store],store_clean[StoreType],"Not Found")</f>
        <v>a</v>
      </c>
    </row>
    <row r="462" spans="1:5" x14ac:dyDescent="0.2">
      <c r="A462">
        <v>461</v>
      </c>
      <c r="B462" s="1">
        <v>4838.66537966538</v>
      </c>
      <c r="C462" s="1">
        <v>476.52895752895751</v>
      </c>
      <c r="D462">
        <f>ROUND(store_performance[[#This Row],[AverageSales]]/store_performance[[#This Row],[AverageCustomers]],2)</f>
        <v>10.15</v>
      </c>
      <c r="E462" t="str">
        <f>_xlfn.XLOOKUP(store_performance[[#This Row],[Store]],store_clean[Store],store_clean[StoreType],"Not Found")</f>
        <v>d</v>
      </c>
    </row>
    <row r="463" spans="1:5" x14ac:dyDescent="0.2">
      <c r="A463">
        <v>462</v>
      </c>
      <c r="B463" s="1">
        <v>4832.5884615384612</v>
      </c>
      <c r="C463" s="1">
        <v>606.21538461538466</v>
      </c>
      <c r="D463">
        <f>ROUND(store_performance[[#This Row],[AverageSales]]/store_performance[[#This Row],[AverageCustomers]],2)</f>
        <v>7.97</v>
      </c>
      <c r="E463" t="str">
        <f>_xlfn.XLOOKUP(store_performance[[#This Row],[Store]],store_clean[Store],store_clean[StoreType],"Not Found")</f>
        <v>a</v>
      </c>
    </row>
    <row r="464" spans="1:5" x14ac:dyDescent="0.2">
      <c r="A464">
        <v>463</v>
      </c>
      <c r="B464" s="1">
        <v>6094.6713735558405</v>
      </c>
      <c r="C464" s="1">
        <v>969.42747111681638</v>
      </c>
      <c r="D464">
        <f>ROUND(store_performance[[#This Row],[AverageSales]]/store_performance[[#This Row],[AverageCustomers]],2)</f>
        <v>6.29</v>
      </c>
      <c r="E464" t="str">
        <f>_xlfn.XLOOKUP(store_performance[[#This Row],[Store]],store_clean[Store],store_clean[StoreType],"Not Found")</f>
        <v>a</v>
      </c>
    </row>
    <row r="465" spans="1:5" x14ac:dyDescent="0.2">
      <c r="A465">
        <v>464</v>
      </c>
      <c r="B465" s="1">
        <v>10642.683673469388</v>
      </c>
      <c r="C465" s="1">
        <v>1305.5931122448981</v>
      </c>
      <c r="D465">
        <f>ROUND(store_performance[[#This Row],[AverageSales]]/store_performance[[#This Row],[AverageCustomers]],2)</f>
        <v>8.15</v>
      </c>
      <c r="E465" t="str">
        <f>_xlfn.XLOOKUP(store_performance[[#This Row],[Store]],store_clean[Store],store_clean[StoreType],"Not Found")</f>
        <v>c</v>
      </c>
    </row>
    <row r="466" spans="1:5" x14ac:dyDescent="0.2">
      <c r="A466">
        <v>465</v>
      </c>
      <c r="B466" s="1">
        <v>7762.806658130602</v>
      </c>
      <c r="C466" s="1">
        <v>604.68758002560821</v>
      </c>
      <c r="D466">
        <f>ROUND(store_performance[[#This Row],[AverageSales]]/store_performance[[#This Row],[AverageCustomers]],2)</f>
        <v>12.84</v>
      </c>
      <c r="E466" t="str">
        <f>_xlfn.XLOOKUP(store_performance[[#This Row],[Store]],store_clean[Store],store_clean[StoreType],"Not Found")</f>
        <v>d</v>
      </c>
    </row>
    <row r="467" spans="1:5" x14ac:dyDescent="0.2">
      <c r="A467">
        <v>466</v>
      </c>
      <c r="B467" s="1">
        <v>7712.3658536585363</v>
      </c>
      <c r="C467" s="1">
        <v>755.76379974326062</v>
      </c>
      <c r="D467">
        <f>ROUND(store_performance[[#This Row],[AverageSales]]/store_performance[[#This Row],[AverageCustomers]],2)</f>
        <v>10.199999999999999</v>
      </c>
      <c r="E467" t="str">
        <f>_xlfn.XLOOKUP(store_performance[[#This Row],[Store]],store_clean[Store],store_clean[StoreType],"Not Found")</f>
        <v>a</v>
      </c>
    </row>
    <row r="468" spans="1:5" x14ac:dyDescent="0.2">
      <c r="A468">
        <v>467</v>
      </c>
      <c r="B468" s="1">
        <v>13480.147625160462</v>
      </c>
      <c r="C468" s="1">
        <v>1613.6508344030808</v>
      </c>
      <c r="D468">
        <f>ROUND(store_performance[[#This Row],[AverageSales]]/store_performance[[#This Row],[AverageCustomers]],2)</f>
        <v>8.35</v>
      </c>
      <c r="E468" t="str">
        <f>_xlfn.XLOOKUP(store_performance[[#This Row],[Store]],store_clean[Store],store_clean[StoreType],"Not Found")</f>
        <v>a</v>
      </c>
    </row>
    <row r="469" spans="1:5" x14ac:dyDescent="0.2">
      <c r="A469">
        <v>468</v>
      </c>
      <c r="B469" s="1">
        <v>6669.6607142857147</v>
      </c>
      <c r="C469" s="1">
        <v>754.5841836734694</v>
      </c>
      <c r="D469">
        <f>ROUND(store_performance[[#This Row],[AverageSales]]/store_performance[[#This Row],[AverageCustomers]],2)</f>
        <v>8.84</v>
      </c>
      <c r="E469" t="str">
        <f>_xlfn.XLOOKUP(store_performance[[#This Row],[Store]],store_clean[Store],store_clean[StoreType],"Not Found")</f>
        <v>c</v>
      </c>
    </row>
    <row r="470" spans="1:5" x14ac:dyDescent="0.2">
      <c r="A470">
        <v>469</v>
      </c>
      <c r="B470" s="1">
        <v>11901.456632653062</v>
      </c>
      <c r="C470" s="1">
        <v>1520.6301020408164</v>
      </c>
      <c r="D470">
        <f>ROUND(store_performance[[#This Row],[AverageSales]]/store_performance[[#This Row],[AverageCustomers]],2)</f>
        <v>7.83</v>
      </c>
      <c r="E470" t="str">
        <f>_xlfn.XLOOKUP(store_performance[[#This Row],[Store]],store_clean[Store],store_clean[StoreType],"Not Found")</f>
        <v>c</v>
      </c>
    </row>
    <row r="471" spans="1:5" x14ac:dyDescent="0.2">
      <c r="A471">
        <v>470</v>
      </c>
      <c r="B471" s="1">
        <v>13111.742268041236</v>
      </c>
      <c r="C471" s="1">
        <v>1774.9703608247423</v>
      </c>
      <c r="D471">
        <f>ROUND(store_performance[[#This Row],[AverageSales]]/store_performance[[#This Row],[AverageCustomers]],2)</f>
        <v>7.39</v>
      </c>
      <c r="E471" t="str">
        <f>_xlfn.XLOOKUP(store_performance[[#This Row],[Store]],store_clean[Store],store_clean[StoreType],"Not Found")</f>
        <v>a</v>
      </c>
    </row>
    <row r="472" spans="1:5" x14ac:dyDescent="0.2">
      <c r="A472">
        <v>471</v>
      </c>
      <c r="B472" s="1">
        <v>7109.7524115755623</v>
      </c>
      <c r="C472" s="1">
        <v>590.20418006430873</v>
      </c>
      <c r="D472">
        <f>ROUND(store_performance[[#This Row],[AverageSales]]/store_performance[[#This Row],[AverageCustomers]],2)</f>
        <v>12.05</v>
      </c>
      <c r="E472" t="str">
        <f>_xlfn.XLOOKUP(store_performance[[#This Row],[Store]],store_clean[Store],store_clean[StoreType],"Not Found")</f>
        <v>d</v>
      </c>
    </row>
    <row r="473" spans="1:5" x14ac:dyDescent="0.2">
      <c r="A473">
        <v>472</v>
      </c>
      <c r="B473" s="1">
        <v>5204.6517857142853</v>
      </c>
      <c r="C473" s="1">
        <v>692.95153061224494</v>
      </c>
      <c r="D473">
        <f>ROUND(store_performance[[#This Row],[AverageSales]]/store_performance[[#This Row],[AverageCustomers]],2)</f>
        <v>7.51</v>
      </c>
      <c r="E473" t="str">
        <f>_xlfn.XLOOKUP(store_performance[[#This Row],[Store]],store_clean[Store],store_clean[StoreType],"Not Found")</f>
        <v>c</v>
      </c>
    </row>
    <row r="474" spans="1:5" x14ac:dyDescent="0.2">
      <c r="A474">
        <v>473</v>
      </c>
      <c r="B474" s="1">
        <v>3552.3016688061616</v>
      </c>
      <c r="C474" s="1">
        <v>486.51861360718868</v>
      </c>
      <c r="D474">
        <f>ROUND(store_performance[[#This Row],[AverageSales]]/store_performance[[#This Row],[AverageCustomers]],2)</f>
        <v>7.3</v>
      </c>
      <c r="E474" t="str">
        <f>_xlfn.XLOOKUP(store_performance[[#This Row],[Store]],store_clean[Store],store_clean[StoreType],"Not Found")</f>
        <v>a</v>
      </c>
    </row>
    <row r="475" spans="1:5" x14ac:dyDescent="0.2">
      <c r="A475">
        <v>474</v>
      </c>
      <c r="B475" s="1">
        <v>7526.8184143222506</v>
      </c>
      <c r="C475" s="1">
        <v>736.80690537084399</v>
      </c>
      <c r="D475">
        <f>ROUND(store_performance[[#This Row],[AverageSales]]/store_performance[[#This Row],[AverageCustomers]],2)</f>
        <v>10.220000000000001</v>
      </c>
      <c r="E475" t="str">
        <f>_xlfn.XLOOKUP(store_performance[[#This Row],[Store]],store_clean[Store],store_clean[StoreType],"Not Found")</f>
        <v>c</v>
      </c>
    </row>
    <row r="476" spans="1:5" x14ac:dyDescent="0.2">
      <c r="A476">
        <v>475</v>
      </c>
      <c r="B476" s="1">
        <v>6473.8144329896904</v>
      </c>
      <c r="C476" s="1">
        <v>981.93427835051546</v>
      </c>
      <c r="D476">
        <f>ROUND(store_performance[[#This Row],[AverageSales]]/store_performance[[#This Row],[AverageCustomers]],2)</f>
        <v>6.59</v>
      </c>
      <c r="E476" t="str">
        <f>_xlfn.XLOOKUP(store_performance[[#This Row],[Store]],store_clean[Store],store_clean[StoreType],"Not Found")</f>
        <v>a</v>
      </c>
    </row>
    <row r="477" spans="1:5" x14ac:dyDescent="0.2">
      <c r="A477">
        <v>476</v>
      </c>
      <c r="B477" s="1">
        <v>5851.6038461538465</v>
      </c>
      <c r="C477" s="1">
        <v>649.79871794871792</v>
      </c>
      <c r="D477">
        <f>ROUND(store_performance[[#This Row],[AverageSales]]/store_performance[[#This Row],[AverageCustomers]],2)</f>
        <v>9.01</v>
      </c>
      <c r="E477" t="str">
        <f>_xlfn.XLOOKUP(store_performance[[#This Row],[Store]],store_clean[Store],store_clean[StoreType],"Not Found")</f>
        <v>d</v>
      </c>
    </row>
    <row r="478" spans="1:5" x14ac:dyDescent="0.2">
      <c r="A478">
        <v>477</v>
      </c>
      <c r="B478" s="1">
        <v>6213.6881028938906</v>
      </c>
      <c r="C478" s="1">
        <v>449.88745980707398</v>
      </c>
      <c r="D478">
        <f>ROUND(store_performance[[#This Row],[AverageSales]]/store_performance[[#This Row],[AverageCustomers]],2)</f>
        <v>13.81</v>
      </c>
      <c r="E478" t="str">
        <f>_xlfn.XLOOKUP(store_performance[[#This Row],[Store]],store_clean[Store],store_clean[StoreType],"Not Found")</f>
        <v>d</v>
      </c>
    </row>
    <row r="479" spans="1:5" x14ac:dyDescent="0.2">
      <c r="A479">
        <v>478</v>
      </c>
      <c r="B479" s="1">
        <v>6806.9489795918371</v>
      </c>
      <c r="C479" s="1">
        <v>699.39285714285711</v>
      </c>
      <c r="D479">
        <f>ROUND(store_performance[[#This Row],[AverageSales]]/store_performance[[#This Row],[AverageCustomers]],2)</f>
        <v>9.73</v>
      </c>
      <c r="E479" t="str">
        <f>_xlfn.XLOOKUP(store_performance[[#This Row],[Store]],store_clean[Store],store_clean[StoreType],"Not Found")</f>
        <v>d</v>
      </c>
    </row>
    <row r="480" spans="1:5" x14ac:dyDescent="0.2">
      <c r="A480">
        <v>479</v>
      </c>
      <c r="B480" s="1">
        <v>11230.879795396419</v>
      </c>
      <c r="C480" s="1">
        <v>1328.8286445012789</v>
      </c>
      <c r="D480">
        <f>ROUND(store_performance[[#This Row],[AverageSales]]/store_performance[[#This Row],[AverageCustomers]],2)</f>
        <v>8.4499999999999993</v>
      </c>
      <c r="E480" t="str">
        <f>_xlfn.XLOOKUP(store_performance[[#This Row],[Store]],store_clean[Store],store_clean[StoreType],"Not Found")</f>
        <v>a</v>
      </c>
    </row>
    <row r="481" spans="1:5" x14ac:dyDescent="0.2">
      <c r="A481">
        <v>480</v>
      </c>
      <c r="B481" s="1">
        <v>4935.8903061224491</v>
      </c>
      <c r="C481" s="1">
        <v>623.46045918367349</v>
      </c>
      <c r="D481">
        <f>ROUND(store_performance[[#This Row],[AverageSales]]/store_performance[[#This Row],[AverageCustomers]],2)</f>
        <v>7.92</v>
      </c>
      <c r="E481" t="str">
        <f>_xlfn.XLOOKUP(store_performance[[#This Row],[Store]],store_clean[Store],store_clean[StoreType],"Not Found")</f>
        <v>a</v>
      </c>
    </row>
    <row r="482" spans="1:5" x14ac:dyDescent="0.2">
      <c r="A482">
        <v>481</v>
      </c>
      <c r="B482" s="1">
        <v>5155.3790012804093</v>
      </c>
      <c r="C482" s="1">
        <v>476.71446862996157</v>
      </c>
      <c r="D482">
        <f>ROUND(store_performance[[#This Row],[AverageSales]]/store_performance[[#This Row],[AverageCustomers]],2)</f>
        <v>10.81</v>
      </c>
      <c r="E482" t="str">
        <f>_xlfn.XLOOKUP(store_performance[[#This Row],[Store]],store_clean[Store],store_clean[StoreType],"Not Found")</f>
        <v>c</v>
      </c>
    </row>
    <row r="483" spans="1:5" x14ac:dyDescent="0.2">
      <c r="A483">
        <v>482</v>
      </c>
      <c r="B483" s="1">
        <v>8334.6176470588234</v>
      </c>
      <c r="C483" s="1">
        <v>920.90664961636833</v>
      </c>
      <c r="D483">
        <f>ROUND(store_performance[[#This Row],[AverageSales]]/store_performance[[#This Row],[AverageCustomers]],2)</f>
        <v>9.0500000000000007</v>
      </c>
      <c r="E483" t="str">
        <f>_xlfn.XLOOKUP(store_performance[[#This Row],[Store]],store_clean[Store],store_clean[StoreType],"Not Found")</f>
        <v>c</v>
      </c>
    </row>
    <row r="484" spans="1:5" x14ac:dyDescent="0.2">
      <c r="A484">
        <v>483</v>
      </c>
      <c r="B484" s="1">
        <v>4948.4243589743592</v>
      </c>
      <c r="C484" s="1">
        <v>650.01794871794868</v>
      </c>
      <c r="D484">
        <f>ROUND(store_performance[[#This Row],[AverageSales]]/store_performance[[#This Row],[AverageCustomers]],2)</f>
        <v>7.61</v>
      </c>
      <c r="E484" t="str">
        <f>_xlfn.XLOOKUP(store_performance[[#This Row],[Store]],store_clean[Store],store_clean[StoreType],"Not Found")</f>
        <v>a</v>
      </c>
    </row>
    <row r="485" spans="1:5" x14ac:dyDescent="0.2">
      <c r="A485">
        <v>484</v>
      </c>
      <c r="B485" s="1">
        <v>7717.6696428571431</v>
      </c>
      <c r="C485" s="1">
        <v>739.86352040816325</v>
      </c>
      <c r="D485">
        <f>ROUND(store_performance[[#This Row],[AverageSales]]/store_performance[[#This Row],[AverageCustomers]],2)</f>
        <v>10.43</v>
      </c>
      <c r="E485" t="str">
        <f>_xlfn.XLOOKUP(store_performance[[#This Row],[Store]],store_clean[Store],store_clean[StoreType],"Not Found")</f>
        <v>a</v>
      </c>
    </row>
    <row r="486" spans="1:5" x14ac:dyDescent="0.2">
      <c r="A486">
        <v>485</v>
      </c>
      <c r="B486" s="1">
        <v>4871.0112540192922</v>
      </c>
      <c r="C486" s="1">
        <v>420.9871382636656</v>
      </c>
      <c r="D486">
        <f>ROUND(store_performance[[#This Row],[AverageSales]]/store_performance[[#This Row],[AverageCustomers]],2)</f>
        <v>11.57</v>
      </c>
      <c r="E486" t="str">
        <f>_xlfn.XLOOKUP(store_performance[[#This Row],[Store]],store_clean[Store],store_clean[StoreType],"Not Found")</f>
        <v>d</v>
      </c>
    </row>
    <row r="487" spans="1:5" x14ac:dyDescent="0.2">
      <c r="A487">
        <v>486</v>
      </c>
      <c r="B487" s="1">
        <v>4266.7432605905005</v>
      </c>
      <c r="C487" s="1">
        <v>520.02310654685493</v>
      </c>
      <c r="D487">
        <f>ROUND(store_performance[[#This Row],[AverageSales]]/store_performance[[#This Row],[AverageCustomers]],2)</f>
        <v>8.1999999999999993</v>
      </c>
      <c r="E487" t="str">
        <f>_xlfn.XLOOKUP(store_performance[[#This Row],[Store]],store_clean[Store],store_clean[StoreType],"Not Found")</f>
        <v>a</v>
      </c>
    </row>
    <row r="488" spans="1:5" x14ac:dyDescent="0.2">
      <c r="A488">
        <v>487</v>
      </c>
      <c r="B488" s="1">
        <v>6999.2997448979595</v>
      </c>
      <c r="C488" s="1">
        <v>676.77423469387759</v>
      </c>
      <c r="D488">
        <f>ROUND(store_performance[[#This Row],[AverageSales]]/store_performance[[#This Row],[AverageCustomers]],2)</f>
        <v>10.34</v>
      </c>
      <c r="E488" t="str">
        <f>_xlfn.XLOOKUP(store_performance[[#This Row],[Store]],store_clean[Store],store_clean[StoreType],"Not Found")</f>
        <v>d</v>
      </c>
    </row>
    <row r="489" spans="1:5" x14ac:dyDescent="0.2">
      <c r="A489">
        <v>488</v>
      </c>
      <c r="B489" s="1">
        <v>3686.3188775510203</v>
      </c>
      <c r="C489" s="1">
        <v>388.0012755102041</v>
      </c>
      <c r="D489">
        <f>ROUND(store_performance[[#This Row],[AverageSales]]/store_performance[[#This Row],[AverageCustomers]],2)</f>
        <v>9.5</v>
      </c>
      <c r="E489" t="str">
        <f>_xlfn.XLOOKUP(store_performance[[#This Row],[Store]],store_clean[Store],store_clean[StoreType],"Not Found")</f>
        <v>a</v>
      </c>
    </row>
    <row r="490" spans="1:5" x14ac:dyDescent="0.2">
      <c r="A490">
        <v>489</v>
      </c>
      <c r="B490" s="1">
        <v>7306.3679487179488</v>
      </c>
      <c r="C490" s="1">
        <v>649.62948717948723</v>
      </c>
      <c r="D490">
        <f>ROUND(store_performance[[#This Row],[AverageSales]]/store_performance[[#This Row],[AverageCustomers]],2)</f>
        <v>11.25</v>
      </c>
      <c r="E490" t="str">
        <f>_xlfn.XLOOKUP(store_performance[[#This Row],[Store]],store_clean[Store],store_clean[StoreType],"Not Found")</f>
        <v>a</v>
      </c>
    </row>
    <row r="491" spans="1:5" x14ac:dyDescent="0.2">
      <c r="A491">
        <v>490</v>
      </c>
      <c r="B491" s="1">
        <v>8249.7282958199357</v>
      </c>
      <c r="C491" s="1">
        <v>1063.7202572347267</v>
      </c>
      <c r="D491">
        <f>ROUND(store_performance[[#This Row],[AverageSales]]/store_performance[[#This Row],[AverageCustomers]],2)</f>
        <v>7.76</v>
      </c>
      <c r="E491" t="str">
        <f>_xlfn.XLOOKUP(store_performance[[#This Row],[Store]],store_clean[Store],store_clean[StoreType],"Not Found")</f>
        <v>a</v>
      </c>
    </row>
    <row r="492" spans="1:5" x14ac:dyDescent="0.2">
      <c r="A492">
        <v>491</v>
      </c>
      <c r="B492" s="1">
        <v>6746.4620334620331</v>
      </c>
      <c r="C492" s="1">
        <v>527.29214929214925</v>
      </c>
      <c r="D492">
        <f>ROUND(store_performance[[#This Row],[AverageSales]]/store_performance[[#This Row],[AverageCustomers]],2)</f>
        <v>12.79</v>
      </c>
      <c r="E492" t="str">
        <f>_xlfn.XLOOKUP(store_performance[[#This Row],[Store]],store_clean[Store],store_clean[StoreType],"Not Found")</f>
        <v>d</v>
      </c>
    </row>
    <row r="493" spans="1:5" x14ac:dyDescent="0.2">
      <c r="A493">
        <v>492</v>
      </c>
      <c r="B493" s="1">
        <v>7859.1254071661242</v>
      </c>
      <c r="C493" s="1">
        <v>1156.2475570032573</v>
      </c>
      <c r="D493">
        <f>ROUND(store_performance[[#This Row],[AverageSales]]/store_performance[[#This Row],[AverageCustomers]],2)</f>
        <v>6.8</v>
      </c>
      <c r="E493" t="str">
        <f>_xlfn.XLOOKUP(store_performance[[#This Row],[Store]],store_clean[Store],store_clean[StoreType],"Not Found")</f>
        <v>a</v>
      </c>
    </row>
    <row r="494" spans="1:5" x14ac:dyDescent="0.2">
      <c r="A494">
        <v>493</v>
      </c>
      <c r="B494" s="1">
        <v>8295.668806161746</v>
      </c>
      <c r="C494" s="1">
        <v>808.26187419768939</v>
      </c>
      <c r="D494">
        <f>ROUND(store_performance[[#This Row],[AverageSales]]/store_performance[[#This Row],[AverageCustomers]],2)</f>
        <v>10.26</v>
      </c>
      <c r="E494" t="str">
        <f>_xlfn.XLOOKUP(store_performance[[#This Row],[Store]],store_clean[Store],store_clean[StoreType],"Not Found")</f>
        <v>d</v>
      </c>
    </row>
    <row r="495" spans="1:5" x14ac:dyDescent="0.2">
      <c r="A495">
        <v>494</v>
      </c>
      <c r="B495" s="1">
        <v>7649.2961783439487</v>
      </c>
      <c r="C495" s="1">
        <v>1079.6061571125265</v>
      </c>
      <c r="D495">
        <f>ROUND(store_performance[[#This Row],[AverageSales]]/store_performance[[#This Row],[AverageCustomers]],2)</f>
        <v>7.09</v>
      </c>
      <c r="E495" t="str">
        <f>_xlfn.XLOOKUP(store_performance[[#This Row],[Store]],store_clean[Store],store_clean[StoreType],"Not Found")</f>
        <v>b</v>
      </c>
    </row>
    <row r="496" spans="1:5" x14ac:dyDescent="0.2">
      <c r="A496">
        <v>495</v>
      </c>
      <c r="B496" s="1">
        <v>5154.7181467181463</v>
      </c>
      <c r="C496" s="1">
        <v>394.90347490347489</v>
      </c>
      <c r="D496">
        <f>ROUND(store_performance[[#This Row],[AverageSales]]/store_performance[[#This Row],[AverageCustomers]],2)</f>
        <v>13.05</v>
      </c>
      <c r="E496" t="str">
        <f>_xlfn.XLOOKUP(store_performance[[#This Row],[Store]],store_clean[Store],store_clean[StoreType],"Not Found")</f>
        <v>d</v>
      </c>
    </row>
    <row r="497" spans="1:5" x14ac:dyDescent="0.2">
      <c r="A497">
        <v>496</v>
      </c>
      <c r="B497" s="1">
        <v>7728.9005102040819</v>
      </c>
      <c r="C497" s="1">
        <v>830.25255102040819</v>
      </c>
      <c r="D497">
        <f>ROUND(store_performance[[#This Row],[AverageSales]]/store_performance[[#This Row],[AverageCustomers]],2)</f>
        <v>9.31</v>
      </c>
      <c r="E497" t="str">
        <f>_xlfn.XLOOKUP(store_performance[[#This Row],[Store]],store_clean[Store],store_clean[StoreType],"Not Found")</f>
        <v>d</v>
      </c>
    </row>
    <row r="498" spans="1:5" x14ac:dyDescent="0.2">
      <c r="A498">
        <v>497</v>
      </c>
      <c r="B498" s="1">
        <v>9062.1229193341878</v>
      </c>
      <c r="C498" s="1">
        <v>1116.3572343149808</v>
      </c>
      <c r="D498">
        <f>ROUND(store_performance[[#This Row],[AverageSales]]/store_performance[[#This Row],[AverageCustomers]],2)</f>
        <v>8.1199999999999992</v>
      </c>
      <c r="E498" t="str">
        <f>_xlfn.XLOOKUP(store_performance[[#This Row],[Store]],store_clean[Store],store_clean[StoreType],"Not Found")</f>
        <v>a</v>
      </c>
    </row>
    <row r="499" spans="1:5" x14ac:dyDescent="0.2">
      <c r="A499">
        <v>498</v>
      </c>
      <c r="B499" s="1">
        <v>6996.5337620578775</v>
      </c>
      <c r="C499" s="1">
        <v>884.56752411575565</v>
      </c>
      <c r="D499">
        <f>ROUND(store_performance[[#This Row],[AverageSales]]/store_performance[[#This Row],[AverageCustomers]],2)</f>
        <v>7.91</v>
      </c>
      <c r="E499" t="str">
        <f>_xlfn.XLOOKUP(store_performance[[#This Row],[Store]],store_clean[Store],store_clean[StoreType],"Not Found")</f>
        <v>a</v>
      </c>
    </row>
    <row r="500" spans="1:5" x14ac:dyDescent="0.2">
      <c r="A500">
        <v>499</v>
      </c>
      <c r="B500" s="1">
        <v>5155.9884169884172</v>
      </c>
      <c r="C500" s="1">
        <v>737.6782496782497</v>
      </c>
      <c r="D500">
        <f>ROUND(store_performance[[#This Row],[AverageSales]]/store_performance[[#This Row],[AverageCustomers]],2)</f>
        <v>6.99</v>
      </c>
      <c r="E500" t="str">
        <f>_xlfn.XLOOKUP(store_performance[[#This Row],[Store]],store_clean[Store],store_clean[StoreType],"Not Found")</f>
        <v>c</v>
      </c>
    </row>
    <row r="501" spans="1:5" x14ac:dyDescent="0.2">
      <c r="A501">
        <v>500</v>
      </c>
      <c r="B501" s="1">
        <v>5354.0369774919618</v>
      </c>
      <c r="C501" s="1">
        <v>395.55627009646304</v>
      </c>
      <c r="D501">
        <f>ROUND(store_performance[[#This Row],[AverageSales]]/store_performance[[#This Row],[AverageCustomers]],2)</f>
        <v>13.54</v>
      </c>
      <c r="E501" t="str">
        <f>_xlfn.XLOOKUP(store_performance[[#This Row],[Store]],store_clean[Store],store_clean[StoreType],"Not Found")</f>
        <v>d</v>
      </c>
    </row>
    <row r="502" spans="1:5" x14ac:dyDescent="0.2">
      <c r="A502">
        <v>501</v>
      </c>
      <c r="B502" s="1">
        <v>5378.1800643086817</v>
      </c>
      <c r="C502" s="1">
        <v>587.81028938906752</v>
      </c>
      <c r="D502">
        <f>ROUND(store_performance[[#This Row],[AverageSales]]/store_performance[[#This Row],[AverageCustomers]],2)</f>
        <v>9.15</v>
      </c>
      <c r="E502" t="str">
        <f>_xlfn.XLOOKUP(store_performance[[#This Row],[Store]],store_clean[Store],store_clean[StoreType],"Not Found")</f>
        <v>a</v>
      </c>
    </row>
    <row r="503" spans="1:5" x14ac:dyDescent="0.2">
      <c r="A503">
        <v>502</v>
      </c>
      <c r="B503" s="1">
        <v>10823.524547803618</v>
      </c>
      <c r="C503" s="1">
        <v>1519.6537467700259</v>
      </c>
      <c r="D503">
        <f>ROUND(store_performance[[#This Row],[AverageSales]]/store_performance[[#This Row],[AverageCustomers]],2)</f>
        <v>7.12</v>
      </c>
      <c r="E503" t="str">
        <f>_xlfn.XLOOKUP(store_performance[[#This Row],[Store]],store_clean[Store],store_clean[StoreType],"Not Found")</f>
        <v>a</v>
      </c>
    </row>
    <row r="504" spans="1:5" x14ac:dyDescent="0.2">
      <c r="A504">
        <v>503</v>
      </c>
      <c r="B504" s="1">
        <v>6698.1987179487178</v>
      </c>
      <c r="C504" s="1">
        <v>470.59102564102562</v>
      </c>
      <c r="D504">
        <f>ROUND(store_performance[[#This Row],[AverageSales]]/store_performance[[#This Row],[AverageCustomers]],2)</f>
        <v>14.23</v>
      </c>
      <c r="E504" t="str">
        <f>_xlfn.XLOOKUP(store_performance[[#This Row],[Store]],store_clean[Store],store_clean[StoreType],"Not Found")</f>
        <v>d</v>
      </c>
    </row>
    <row r="505" spans="1:5" x14ac:dyDescent="0.2">
      <c r="A505">
        <v>504</v>
      </c>
      <c r="B505" s="1">
        <v>6673.158163265306</v>
      </c>
      <c r="C505" s="1">
        <v>953.40561224489795</v>
      </c>
      <c r="D505">
        <f>ROUND(store_performance[[#This Row],[AverageSales]]/store_performance[[#This Row],[AverageCustomers]],2)</f>
        <v>7</v>
      </c>
      <c r="E505" t="str">
        <f>_xlfn.XLOOKUP(store_performance[[#This Row],[Store]],store_clean[Store],store_clean[StoreType],"Not Found")</f>
        <v>c</v>
      </c>
    </row>
    <row r="506" spans="1:5" x14ac:dyDescent="0.2">
      <c r="A506">
        <v>505</v>
      </c>
      <c r="B506" s="1">
        <v>4776.2805662805658</v>
      </c>
      <c r="C506" s="1">
        <v>594.61132561132558</v>
      </c>
      <c r="D506">
        <f>ROUND(store_performance[[#This Row],[AverageSales]]/store_performance[[#This Row],[AverageCustomers]],2)</f>
        <v>8.0299999999999994</v>
      </c>
      <c r="E506" t="str">
        <f>_xlfn.XLOOKUP(store_performance[[#This Row],[Store]],store_clean[Store],store_clean[StoreType],"Not Found")</f>
        <v>a</v>
      </c>
    </row>
    <row r="507" spans="1:5" x14ac:dyDescent="0.2">
      <c r="A507">
        <v>506</v>
      </c>
      <c r="B507" s="1">
        <v>7581.3440308087293</v>
      </c>
      <c r="C507" s="1">
        <v>841.70218228498072</v>
      </c>
      <c r="D507">
        <f>ROUND(store_performance[[#This Row],[AverageSales]]/store_performance[[#This Row],[AverageCustomers]],2)</f>
        <v>9.01</v>
      </c>
      <c r="E507" t="str">
        <f>_xlfn.XLOOKUP(store_performance[[#This Row],[Store]],store_clean[Store],store_clean[StoreType],"Not Found")</f>
        <v>a</v>
      </c>
    </row>
    <row r="508" spans="1:5" x14ac:dyDescent="0.2">
      <c r="A508">
        <v>507</v>
      </c>
      <c r="B508" s="1">
        <v>8455.7702182284975</v>
      </c>
      <c r="C508" s="1">
        <v>663.77792041078305</v>
      </c>
      <c r="D508">
        <f>ROUND(store_performance[[#This Row],[AverageSales]]/store_performance[[#This Row],[AverageCustomers]],2)</f>
        <v>12.74</v>
      </c>
      <c r="E508" t="str">
        <f>_xlfn.XLOOKUP(store_performance[[#This Row],[Store]],store_clean[Store],store_clean[StoreType],"Not Found")</f>
        <v>a</v>
      </c>
    </row>
    <row r="509" spans="1:5" x14ac:dyDescent="0.2">
      <c r="A509">
        <v>508</v>
      </c>
      <c r="B509" s="1">
        <v>6767.6997422680415</v>
      </c>
      <c r="C509" s="1">
        <v>662.51288659793818</v>
      </c>
      <c r="D509">
        <f>ROUND(store_performance[[#This Row],[AverageSales]]/store_performance[[#This Row],[AverageCustomers]],2)</f>
        <v>10.220000000000001</v>
      </c>
      <c r="E509" t="str">
        <f>_xlfn.XLOOKUP(store_performance[[#This Row],[Store]],store_clean[Store],store_clean[StoreType],"Not Found")</f>
        <v>a</v>
      </c>
    </row>
    <row r="510" spans="1:5" x14ac:dyDescent="0.2">
      <c r="A510">
        <v>509</v>
      </c>
      <c r="B510" s="1">
        <v>6125.0627400768244</v>
      </c>
      <c r="C510" s="1">
        <v>518.31241997439179</v>
      </c>
      <c r="D510">
        <f>ROUND(store_performance[[#This Row],[AverageSales]]/store_performance[[#This Row],[AverageCustomers]],2)</f>
        <v>11.82</v>
      </c>
      <c r="E510" t="str">
        <f>_xlfn.XLOOKUP(store_performance[[#This Row],[Store]],store_clean[Store],store_clean[StoreType],"Not Found")</f>
        <v>a</v>
      </c>
    </row>
    <row r="511" spans="1:5" x14ac:dyDescent="0.2">
      <c r="A511">
        <v>510</v>
      </c>
      <c r="B511" s="1">
        <v>8196.7394094993579</v>
      </c>
      <c r="C511" s="1">
        <v>842.2002567394095</v>
      </c>
      <c r="D511">
        <f>ROUND(store_performance[[#This Row],[AverageSales]]/store_performance[[#This Row],[AverageCustomers]],2)</f>
        <v>9.73</v>
      </c>
      <c r="E511" t="str">
        <f>_xlfn.XLOOKUP(store_performance[[#This Row],[Store]],store_clean[Store],store_clean[StoreType],"Not Found")</f>
        <v>a</v>
      </c>
    </row>
    <row r="512" spans="1:5" x14ac:dyDescent="0.2">
      <c r="A512">
        <v>511</v>
      </c>
      <c r="B512" s="1">
        <v>5662.3201530612241</v>
      </c>
      <c r="C512" s="1">
        <v>810.59821428571433</v>
      </c>
      <c r="D512">
        <f>ROUND(store_performance[[#This Row],[AverageSales]]/store_performance[[#This Row],[AverageCustomers]],2)</f>
        <v>6.99</v>
      </c>
      <c r="E512" t="str">
        <f>_xlfn.XLOOKUP(store_performance[[#This Row],[Store]],store_clean[Store],store_clean[StoreType],"Not Found")</f>
        <v>a</v>
      </c>
    </row>
    <row r="513" spans="1:5" x14ac:dyDescent="0.2">
      <c r="A513">
        <v>512</v>
      </c>
      <c r="B513" s="1">
        <v>5510.9785234899327</v>
      </c>
      <c r="C513" s="1">
        <v>1287.9718120805369</v>
      </c>
      <c r="D513">
        <f>ROUND(store_performance[[#This Row],[AverageSales]]/store_performance[[#This Row],[AverageCustomers]],2)</f>
        <v>4.28</v>
      </c>
      <c r="E513" t="str">
        <f>_xlfn.XLOOKUP(store_performance[[#This Row],[Store]],store_clean[Store],store_clean[StoreType],"Not Found")</f>
        <v>b</v>
      </c>
    </row>
    <row r="514" spans="1:5" x14ac:dyDescent="0.2">
      <c r="A514">
        <v>513</v>
      </c>
      <c r="B514" s="1">
        <v>18179.089285714286</v>
      </c>
      <c r="C514" s="1">
        <v>2096.3354591836733</v>
      </c>
      <c r="D514">
        <f>ROUND(store_performance[[#This Row],[AverageSales]]/store_performance[[#This Row],[AverageCustomers]],2)</f>
        <v>8.67</v>
      </c>
      <c r="E514" t="str">
        <f>_xlfn.XLOOKUP(store_performance[[#This Row],[Store]],store_clean[Store],store_clean[StoreType],"Not Found")</f>
        <v>a</v>
      </c>
    </row>
    <row r="515" spans="1:5" x14ac:dyDescent="0.2">
      <c r="A515">
        <v>514</v>
      </c>
      <c r="B515" s="1">
        <v>5756.009646302251</v>
      </c>
      <c r="C515" s="1">
        <v>603.96623794212223</v>
      </c>
      <c r="D515">
        <f>ROUND(store_performance[[#This Row],[AverageSales]]/store_performance[[#This Row],[AverageCustomers]],2)</f>
        <v>9.5299999999999994</v>
      </c>
      <c r="E515" t="str">
        <f>_xlfn.XLOOKUP(store_performance[[#This Row],[Store]],store_clean[Store],store_clean[StoreType],"Not Found")</f>
        <v>c</v>
      </c>
    </row>
    <row r="516" spans="1:5" x14ac:dyDescent="0.2">
      <c r="A516">
        <v>515</v>
      </c>
      <c r="B516" s="1">
        <v>9058.1527599486526</v>
      </c>
      <c r="C516" s="1">
        <v>738.30808729139926</v>
      </c>
      <c r="D516">
        <f>ROUND(store_performance[[#This Row],[AverageSales]]/store_performance[[#This Row],[AverageCustomers]],2)</f>
        <v>12.27</v>
      </c>
      <c r="E516" t="str">
        <f>_xlfn.XLOOKUP(store_performance[[#This Row],[Store]],store_clean[Store],store_clean[StoreType],"Not Found")</f>
        <v>d</v>
      </c>
    </row>
    <row r="517" spans="1:5" x14ac:dyDescent="0.2">
      <c r="A517">
        <v>516</v>
      </c>
      <c r="B517" s="1">
        <v>5879.0847240051344</v>
      </c>
      <c r="C517" s="1">
        <v>760.54813863928109</v>
      </c>
      <c r="D517">
        <f>ROUND(store_performance[[#This Row],[AverageSales]]/store_performance[[#This Row],[AverageCustomers]],2)</f>
        <v>7.73</v>
      </c>
      <c r="E517" t="str">
        <f>_xlfn.XLOOKUP(store_performance[[#This Row],[Store]],store_clean[Store],store_clean[StoreType],"Not Found")</f>
        <v>a</v>
      </c>
    </row>
    <row r="518" spans="1:5" x14ac:dyDescent="0.2">
      <c r="A518">
        <v>517</v>
      </c>
      <c r="B518" s="1">
        <v>5962.438735177866</v>
      </c>
      <c r="C518" s="1">
        <v>650.92226613965749</v>
      </c>
      <c r="D518">
        <f>ROUND(store_performance[[#This Row],[AverageSales]]/store_performance[[#This Row],[AverageCustomers]],2)</f>
        <v>9.16</v>
      </c>
      <c r="E518" t="str">
        <f>_xlfn.XLOOKUP(store_performance[[#This Row],[Store]],store_clean[Store],store_clean[StoreType],"Not Found")</f>
        <v>a</v>
      </c>
    </row>
    <row r="519" spans="1:5" x14ac:dyDescent="0.2">
      <c r="A519">
        <v>518</v>
      </c>
      <c r="B519" s="1">
        <v>5865.1235955056181</v>
      </c>
      <c r="C519" s="1">
        <v>504.30979133226322</v>
      </c>
      <c r="D519">
        <f>ROUND(store_performance[[#This Row],[AverageSales]]/store_performance[[#This Row],[AverageCustomers]],2)</f>
        <v>11.63</v>
      </c>
      <c r="E519" t="str">
        <f>_xlfn.XLOOKUP(store_performance[[#This Row],[Store]],store_clean[Store],store_clean[StoreType],"Not Found")</f>
        <v>d</v>
      </c>
    </row>
    <row r="520" spans="1:5" x14ac:dyDescent="0.2">
      <c r="A520">
        <v>519</v>
      </c>
      <c r="B520" s="1">
        <v>5306.3201530612241</v>
      </c>
      <c r="C520" s="1">
        <v>559.07653061224494</v>
      </c>
      <c r="D520">
        <f>ROUND(store_performance[[#This Row],[AverageSales]]/store_performance[[#This Row],[AverageCustomers]],2)</f>
        <v>9.49</v>
      </c>
      <c r="E520" t="str">
        <f>_xlfn.XLOOKUP(store_performance[[#This Row],[Store]],store_clean[Store],store_clean[StoreType],"Not Found")</f>
        <v>c</v>
      </c>
    </row>
    <row r="521" spans="1:5" x14ac:dyDescent="0.2">
      <c r="A521">
        <v>520</v>
      </c>
      <c r="B521" s="1">
        <v>3869.7321428571427</v>
      </c>
      <c r="C521" s="1">
        <v>413.05739795918367</v>
      </c>
      <c r="D521">
        <f>ROUND(store_performance[[#This Row],[AverageSales]]/store_performance[[#This Row],[AverageCustomers]],2)</f>
        <v>9.3699999999999992</v>
      </c>
      <c r="E521" t="str">
        <f>_xlfn.XLOOKUP(store_performance[[#This Row],[Store]],store_clean[Store],store_clean[StoreType],"Not Found")</f>
        <v>a</v>
      </c>
    </row>
    <row r="522" spans="1:5" x14ac:dyDescent="0.2">
      <c r="A522">
        <v>521</v>
      </c>
      <c r="B522" s="1">
        <v>5181.0141206675225</v>
      </c>
      <c r="C522" s="1">
        <v>426.49293966623878</v>
      </c>
      <c r="D522">
        <f>ROUND(store_performance[[#This Row],[AverageSales]]/store_performance[[#This Row],[AverageCustomers]],2)</f>
        <v>12.15</v>
      </c>
      <c r="E522" t="str">
        <f>_xlfn.XLOOKUP(store_performance[[#This Row],[Store]],store_clean[Store],store_clean[StoreType],"Not Found")</f>
        <v>d</v>
      </c>
    </row>
    <row r="523" spans="1:5" x14ac:dyDescent="0.2">
      <c r="A523">
        <v>522</v>
      </c>
      <c r="B523" s="1">
        <v>8222.889245585875</v>
      </c>
      <c r="C523" s="1">
        <v>633.02247191011236</v>
      </c>
      <c r="D523">
        <f>ROUND(store_performance[[#This Row],[AverageSales]]/store_performance[[#This Row],[AverageCustomers]],2)</f>
        <v>12.99</v>
      </c>
      <c r="E523" t="str">
        <f>_xlfn.XLOOKUP(store_performance[[#This Row],[Store]],store_clean[Store],store_clean[StoreType],"Not Found")</f>
        <v>d</v>
      </c>
    </row>
    <row r="524" spans="1:5" x14ac:dyDescent="0.2">
      <c r="A524">
        <v>523</v>
      </c>
      <c r="B524" s="1">
        <v>15530.605867346938</v>
      </c>
      <c r="C524" s="1">
        <v>1782.9119897959183</v>
      </c>
      <c r="D524">
        <f>ROUND(store_performance[[#This Row],[AverageSales]]/store_performance[[#This Row],[AverageCustomers]],2)</f>
        <v>8.7100000000000009</v>
      </c>
      <c r="E524" t="str">
        <f>_xlfn.XLOOKUP(store_performance[[#This Row],[Store]],store_clean[Store],store_clean[StoreType],"Not Found")</f>
        <v>c</v>
      </c>
    </row>
    <row r="525" spans="1:5" x14ac:dyDescent="0.2">
      <c r="A525">
        <v>524</v>
      </c>
      <c r="B525" s="1">
        <v>7710.8195232690123</v>
      </c>
      <c r="C525" s="1">
        <v>818.50170261066967</v>
      </c>
      <c r="D525">
        <f>ROUND(store_performance[[#This Row],[AverageSales]]/store_performance[[#This Row],[AverageCustomers]],2)</f>
        <v>9.42</v>
      </c>
      <c r="E525" t="str">
        <f>_xlfn.XLOOKUP(store_performance[[#This Row],[Store]],store_clean[Store],store_clean[StoreType],"Not Found")</f>
        <v>a</v>
      </c>
    </row>
    <row r="526" spans="1:5" x14ac:dyDescent="0.2">
      <c r="A526">
        <v>525</v>
      </c>
      <c r="B526" s="1">
        <v>10233.026819923372</v>
      </c>
      <c r="C526" s="1">
        <v>875.56704980842915</v>
      </c>
      <c r="D526">
        <f>ROUND(store_performance[[#This Row],[AverageSales]]/store_performance[[#This Row],[AverageCustomers]],2)</f>
        <v>11.69</v>
      </c>
      <c r="E526" t="str">
        <f>_xlfn.XLOOKUP(store_performance[[#This Row],[Store]],store_clean[Store],store_clean[StoreType],"Not Found")</f>
        <v>d</v>
      </c>
    </row>
    <row r="527" spans="1:5" x14ac:dyDescent="0.2">
      <c r="A527">
        <v>526</v>
      </c>
      <c r="B527" s="1">
        <v>10630.231457800512</v>
      </c>
      <c r="C527" s="1">
        <v>1456.700767263427</v>
      </c>
      <c r="D527">
        <f>ROUND(store_performance[[#This Row],[AverageSales]]/store_performance[[#This Row],[AverageCustomers]],2)</f>
        <v>7.3</v>
      </c>
      <c r="E527" t="str">
        <f>_xlfn.XLOOKUP(store_performance[[#This Row],[Store]],store_clean[Store],store_clean[StoreType],"Not Found")</f>
        <v>a</v>
      </c>
    </row>
    <row r="528" spans="1:5" x14ac:dyDescent="0.2">
      <c r="A528">
        <v>527</v>
      </c>
      <c r="B528" s="1">
        <v>10734.693982074265</v>
      </c>
      <c r="C528" s="1">
        <v>1000.4903969270166</v>
      </c>
      <c r="D528">
        <f>ROUND(store_performance[[#This Row],[AverageSales]]/store_performance[[#This Row],[AverageCustomers]],2)</f>
        <v>10.73</v>
      </c>
      <c r="E528" t="str">
        <f>_xlfn.XLOOKUP(store_performance[[#This Row],[Store]],store_clean[Store],store_clean[StoreType],"Not Found")</f>
        <v>d</v>
      </c>
    </row>
    <row r="529" spans="1:5" x14ac:dyDescent="0.2">
      <c r="A529">
        <v>528</v>
      </c>
      <c r="B529" s="1">
        <v>10704.444159178434</v>
      </c>
      <c r="C529" s="1">
        <v>955.44929396662383</v>
      </c>
      <c r="D529">
        <f>ROUND(store_performance[[#This Row],[AverageSales]]/store_performance[[#This Row],[AverageCustomers]],2)</f>
        <v>11.2</v>
      </c>
      <c r="E529" t="str">
        <f>_xlfn.XLOOKUP(store_performance[[#This Row],[Store]],store_clean[Store],store_clean[StoreType],"Not Found")</f>
        <v>a</v>
      </c>
    </row>
    <row r="530" spans="1:5" x14ac:dyDescent="0.2">
      <c r="A530">
        <v>529</v>
      </c>
      <c r="B530" s="1">
        <v>7823.783163265306</v>
      </c>
      <c r="C530" s="1">
        <v>761.19260204081638</v>
      </c>
      <c r="D530">
        <f>ROUND(store_performance[[#This Row],[AverageSales]]/store_performance[[#This Row],[AverageCustomers]],2)</f>
        <v>10.28</v>
      </c>
      <c r="E530" t="str">
        <f>_xlfn.XLOOKUP(store_performance[[#This Row],[Store]],store_clean[Store],store_clean[StoreType],"Not Found")</f>
        <v>d</v>
      </c>
    </row>
    <row r="531" spans="1:5" x14ac:dyDescent="0.2">
      <c r="A531">
        <v>530</v>
      </c>
      <c r="B531" s="1">
        <v>4634.3233995584987</v>
      </c>
      <c r="C531" s="1">
        <v>750.80573951434883</v>
      </c>
      <c r="D531">
        <f>ROUND(store_performance[[#This Row],[AverageSales]]/store_performance[[#This Row],[AverageCustomers]],2)</f>
        <v>6.17</v>
      </c>
      <c r="E531" t="str">
        <f>_xlfn.XLOOKUP(store_performance[[#This Row],[Store]],store_clean[Store],store_clean[StoreType],"Not Found")</f>
        <v>a</v>
      </c>
    </row>
    <row r="532" spans="1:5" x14ac:dyDescent="0.2">
      <c r="A532">
        <v>531</v>
      </c>
      <c r="B532" s="1">
        <v>4901.9349489795923</v>
      </c>
      <c r="C532" s="1">
        <v>600.60714285714289</v>
      </c>
      <c r="D532">
        <f>ROUND(store_performance[[#This Row],[AverageSales]]/store_performance[[#This Row],[AverageCustomers]],2)</f>
        <v>8.16</v>
      </c>
      <c r="E532" t="str">
        <f>_xlfn.XLOOKUP(store_performance[[#This Row],[Store]],store_clean[Store],store_clean[StoreType],"Not Found")</f>
        <v>a</v>
      </c>
    </row>
    <row r="533" spans="1:5" x14ac:dyDescent="0.2">
      <c r="A533">
        <v>532</v>
      </c>
      <c r="B533" s="1">
        <v>10894.865211810013</v>
      </c>
      <c r="C533" s="1">
        <v>1278.9075738125803</v>
      </c>
      <c r="D533">
        <f>ROUND(store_performance[[#This Row],[AverageSales]]/store_performance[[#This Row],[AverageCustomers]],2)</f>
        <v>8.52</v>
      </c>
      <c r="E533" t="str">
        <f>_xlfn.XLOOKUP(store_performance[[#This Row],[Store]],store_clean[Store],store_clean[StoreType],"Not Found")</f>
        <v>a</v>
      </c>
    </row>
    <row r="534" spans="1:5" x14ac:dyDescent="0.2">
      <c r="A534">
        <v>533</v>
      </c>
      <c r="B534" s="1">
        <v>9659.6486486486483</v>
      </c>
      <c r="C534" s="1">
        <v>902.23166023166027</v>
      </c>
      <c r="D534">
        <f>ROUND(store_performance[[#This Row],[AverageSales]]/store_performance[[#This Row],[AverageCustomers]],2)</f>
        <v>10.71</v>
      </c>
      <c r="E534" t="str">
        <f>_xlfn.XLOOKUP(store_performance[[#This Row],[Store]],store_clean[Store],store_clean[StoreType],"Not Found")</f>
        <v>a</v>
      </c>
    </row>
    <row r="535" spans="1:5" x14ac:dyDescent="0.2">
      <c r="A535">
        <v>534</v>
      </c>
      <c r="B535" s="1">
        <v>7519.5569823434989</v>
      </c>
      <c r="C535" s="1">
        <v>568.69662921348311</v>
      </c>
      <c r="D535">
        <f>ROUND(store_performance[[#This Row],[AverageSales]]/store_performance[[#This Row],[AverageCustomers]],2)</f>
        <v>13.22</v>
      </c>
      <c r="E535" t="str">
        <f>_xlfn.XLOOKUP(store_performance[[#This Row],[Store]],store_clean[Store],store_clean[StoreType],"Not Found")</f>
        <v>d</v>
      </c>
    </row>
    <row r="536" spans="1:5" x14ac:dyDescent="0.2">
      <c r="A536">
        <v>535</v>
      </c>
      <c r="B536" s="1">
        <v>8115.7715019255456</v>
      </c>
      <c r="C536" s="1">
        <v>922.61360718870344</v>
      </c>
      <c r="D536">
        <f>ROUND(store_performance[[#This Row],[AverageSales]]/store_performance[[#This Row],[AverageCustomers]],2)</f>
        <v>8.8000000000000007</v>
      </c>
      <c r="E536" t="str">
        <f>_xlfn.XLOOKUP(store_performance[[#This Row],[Store]],store_clean[Store],store_clean[StoreType],"Not Found")</f>
        <v>a</v>
      </c>
    </row>
    <row r="537" spans="1:5" x14ac:dyDescent="0.2">
      <c r="A537">
        <v>536</v>
      </c>
      <c r="B537" s="1">
        <v>8323.6136071887031</v>
      </c>
      <c r="C537" s="1">
        <v>883.0346598202824</v>
      </c>
      <c r="D537">
        <f>ROUND(store_performance[[#This Row],[AverageSales]]/store_performance[[#This Row],[AverageCustomers]],2)</f>
        <v>9.43</v>
      </c>
      <c r="E537" t="str">
        <f>_xlfn.XLOOKUP(store_performance[[#This Row],[Store]],store_clean[Store],store_clean[StoreType],"Not Found")</f>
        <v>a</v>
      </c>
    </row>
    <row r="538" spans="1:5" x14ac:dyDescent="0.2">
      <c r="A538">
        <v>537</v>
      </c>
      <c r="B538" s="1">
        <v>5580.1788931788933</v>
      </c>
      <c r="C538" s="1">
        <v>604.23294723294725</v>
      </c>
      <c r="D538">
        <f>ROUND(store_performance[[#This Row],[AverageSales]]/store_performance[[#This Row],[AverageCustomers]],2)</f>
        <v>9.24</v>
      </c>
      <c r="E538" t="str">
        <f>_xlfn.XLOOKUP(store_performance[[#This Row],[Store]],store_clean[Store],store_clean[StoreType],"Not Found")</f>
        <v>a</v>
      </c>
    </row>
    <row r="539" spans="1:5" x14ac:dyDescent="0.2">
      <c r="A539">
        <v>538</v>
      </c>
      <c r="B539" s="1">
        <v>3859.0242346938776</v>
      </c>
      <c r="C539" s="1">
        <v>567.92474489795916</v>
      </c>
      <c r="D539">
        <f>ROUND(store_performance[[#This Row],[AverageSales]]/store_performance[[#This Row],[AverageCustomers]],2)</f>
        <v>6.79</v>
      </c>
      <c r="E539" t="str">
        <f>_xlfn.XLOOKUP(store_performance[[#This Row],[Store]],store_clean[Store],store_clean[StoreType],"Not Found")</f>
        <v>a</v>
      </c>
    </row>
    <row r="540" spans="1:5" x14ac:dyDescent="0.2">
      <c r="A540">
        <v>539</v>
      </c>
      <c r="B540" s="1">
        <v>11310.963022508038</v>
      </c>
      <c r="C540" s="1">
        <v>1142.2797427652733</v>
      </c>
      <c r="D540">
        <f>ROUND(store_performance[[#This Row],[AverageSales]]/store_performance[[#This Row],[AverageCustomers]],2)</f>
        <v>9.9</v>
      </c>
      <c r="E540" t="str">
        <f>_xlfn.XLOOKUP(store_performance[[#This Row],[Store]],store_clean[Store],store_clean[StoreType],"Not Found")</f>
        <v>a</v>
      </c>
    </row>
    <row r="541" spans="1:5" x14ac:dyDescent="0.2">
      <c r="A541">
        <v>540</v>
      </c>
      <c r="B541" s="1">
        <v>5648.990353697749</v>
      </c>
      <c r="C541" s="1">
        <v>391.31189710610931</v>
      </c>
      <c r="D541">
        <f>ROUND(store_performance[[#This Row],[AverageSales]]/store_performance[[#This Row],[AverageCustomers]],2)</f>
        <v>14.44</v>
      </c>
      <c r="E541" t="str">
        <f>_xlfn.XLOOKUP(store_performance[[#This Row],[Store]],store_clean[Store],store_clean[StoreType],"Not Found")</f>
        <v>d</v>
      </c>
    </row>
    <row r="542" spans="1:5" x14ac:dyDescent="0.2">
      <c r="A542">
        <v>541</v>
      </c>
      <c r="B542" s="1">
        <v>6720.8125802310651</v>
      </c>
      <c r="C542" s="1">
        <v>857.08344030808735</v>
      </c>
      <c r="D542">
        <f>ROUND(store_performance[[#This Row],[AverageSales]]/store_performance[[#This Row],[AverageCustomers]],2)</f>
        <v>7.84</v>
      </c>
      <c r="E542" t="str">
        <f>_xlfn.XLOOKUP(store_performance[[#This Row],[Store]],store_clean[Store],store_clean[StoreType],"Not Found")</f>
        <v>a</v>
      </c>
    </row>
    <row r="543" spans="1:5" x14ac:dyDescent="0.2">
      <c r="A543">
        <v>542</v>
      </c>
      <c r="B543" s="1">
        <v>6246.6414790996787</v>
      </c>
      <c r="C543" s="1">
        <v>531.63987138263667</v>
      </c>
      <c r="D543">
        <f>ROUND(store_performance[[#This Row],[AverageSales]]/store_performance[[#This Row],[AverageCustomers]],2)</f>
        <v>11.75</v>
      </c>
      <c r="E543" t="str">
        <f>_xlfn.XLOOKUP(store_performance[[#This Row],[Store]],store_clean[Store],store_clean[StoreType],"Not Found")</f>
        <v>a</v>
      </c>
    </row>
    <row r="544" spans="1:5" x14ac:dyDescent="0.2">
      <c r="A544">
        <v>543</v>
      </c>
      <c r="B544" s="1">
        <v>2790.3802816901407</v>
      </c>
      <c r="C544" s="1">
        <v>240.18309859154928</v>
      </c>
      <c r="D544">
        <f>ROUND(store_performance[[#This Row],[AverageSales]]/store_performance[[#This Row],[AverageCustomers]],2)</f>
        <v>11.62</v>
      </c>
      <c r="E544" t="str">
        <f>_xlfn.XLOOKUP(store_performance[[#This Row],[Store]],store_clean[Store],store_clean[StoreType],"Not Found")</f>
        <v>c</v>
      </c>
    </row>
    <row r="545" spans="1:5" x14ac:dyDescent="0.2">
      <c r="A545">
        <v>544</v>
      </c>
      <c r="B545" s="1">
        <v>14094.498717948718</v>
      </c>
      <c r="C545" s="1">
        <v>1845.071794871795</v>
      </c>
      <c r="D545">
        <f>ROUND(store_performance[[#This Row],[AverageSales]]/store_performance[[#This Row],[AverageCustomers]],2)</f>
        <v>7.64</v>
      </c>
      <c r="E545" t="str">
        <f>_xlfn.XLOOKUP(store_performance[[#This Row],[Store]],store_clean[Store],store_clean[StoreType],"Not Found")</f>
        <v>a</v>
      </c>
    </row>
    <row r="546" spans="1:5" x14ac:dyDescent="0.2">
      <c r="A546">
        <v>545</v>
      </c>
      <c r="B546" s="1">
        <v>10635.256739409499</v>
      </c>
      <c r="C546" s="1">
        <v>1026.8177150192555</v>
      </c>
      <c r="D546">
        <f>ROUND(store_performance[[#This Row],[AverageSales]]/store_performance[[#This Row],[AverageCustomers]],2)</f>
        <v>10.36</v>
      </c>
      <c r="E546" t="str">
        <f>_xlfn.XLOOKUP(store_performance[[#This Row],[Store]],store_clean[Store],store_clean[StoreType],"Not Found")</f>
        <v>a</v>
      </c>
    </row>
    <row r="547" spans="1:5" x14ac:dyDescent="0.2">
      <c r="A547">
        <v>546</v>
      </c>
      <c r="B547" s="1">
        <v>13681.53443877551</v>
      </c>
      <c r="C547" s="1">
        <v>1621.279336734694</v>
      </c>
      <c r="D547">
        <f>ROUND(store_performance[[#This Row],[AverageSales]]/store_performance[[#This Row],[AverageCustomers]],2)</f>
        <v>8.44</v>
      </c>
      <c r="E547" t="str">
        <f>_xlfn.XLOOKUP(store_performance[[#This Row],[Store]],store_clean[Store],store_clean[StoreType],"Not Found")</f>
        <v>a</v>
      </c>
    </row>
    <row r="548" spans="1:5" x14ac:dyDescent="0.2">
      <c r="A548">
        <v>547</v>
      </c>
      <c r="B548" s="1">
        <v>5752.490353697749</v>
      </c>
      <c r="C548" s="1">
        <v>442.24758842443731</v>
      </c>
      <c r="D548">
        <f>ROUND(store_performance[[#This Row],[AverageSales]]/store_performance[[#This Row],[AverageCustomers]],2)</f>
        <v>13.01</v>
      </c>
      <c r="E548" t="str">
        <f>_xlfn.XLOOKUP(store_performance[[#This Row],[Store]],store_clean[Store],store_clean[StoreType],"Not Found")</f>
        <v>d</v>
      </c>
    </row>
    <row r="549" spans="1:5" x14ac:dyDescent="0.2">
      <c r="A549">
        <v>548</v>
      </c>
      <c r="B549" s="1">
        <v>5066.4265279583879</v>
      </c>
      <c r="C549" s="1">
        <v>400.40052015604681</v>
      </c>
      <c r="D549">
        <f>ROUND(store_performance[[#This Row],[AverageSales]]/store_performance[[#This Row],[AverageCustomers]],2)</f>
        <v>12.65</v>
      </c>
      <c r="E549" t="str">
        <f>_xlfn.XLOOKUP(store_performance[[#This Row],[Store]],store_clean[Store],store_clean[StoreType],"Not Found")</f>
        <v>d</v>
      </c>
    </row>
    <row r="550" spans="1:5" x14ac:dyDescent="0.2">
      <c r="A550">
        <v>549</v>
      </c>
      <c r="B550" s="1">
        <v>4642.716836734694</v>
      </c>
      <c r="C550" s="1">
        <v>547.71301020408168</v>
      </c>
      <c r="D550">
        <f>ROUND(store_performance[[#This Row],[AverageSales]]/store_performance[[#This Row],[AverageCustomers]],2)</f>
        <v>8.48</v>
      </c>
      <c r="E550" t="str">
        <f>_xlfn.XLOOKUP(store_performance[[#This Row],[Store]],store_clean[Store],store_clean[StoreType],"Not Found")</f>
        <v>a</v>
      </c>
    </row>
    <row r="551" spans="1:5" x14ac:dyDescent="0.2">
      <c r="A551">
        <v>550</v>
      </c>
      <c r="B551" s="1">
        <v>5973.6274007682459</v>
      </c>
      <c r="C551" s="1">
        <v>496.6491677336748</v>
      </c>
      <c r="D551">
        <f>ROUND(store_performance[[#This Row],[AverageSales]]/store_performance[[#This Row],[AverageCustomers]],2)</f>
        <v>12.03</v>
      </c>
      <c r="E551" t="str">
        <f>_xlfn.XLOOKUP(store_performance[[#This Row],[Store]],store_clean[Store],store_clean[StoreType],"Not Found")</f>
        <v>d</v>
      </c>
    </row>
    <row r="552" spans="1:5" x14ac:dyDescent="0.2">
      <c r="A552">
        <v>551</v>
      </c>
      <c r="B552" s="1">
        <v>6559.3788265306121</v>
      </c>
      <c r="C552" s="1">
        <v>987.74234693877554</v>
      </c>
      <c r="D552">
        <f>ROUND(store_performance[[#This Row],[AverageSales]]/store_performance[[#This Row],[AverageCustomers]],2)</f>
        <v>6.64</v>
      </c>
      <c r="E552" t="str">
        <f>_xlfn.XLOOKUP(store_performance[[#This Row],[Store]],store_clean[Store],store_clean[StoreType],"Not Found")</f>
        <v>a</v>
      </c>
    </row>
    <row r="553" spans="1:5" x14ac:dyDescent="0.2">
      <c r="A553">
        <v>552</v>
      </c>
      <c r="B553" s="1">
        <v>7721.8668373879646</v>
      </c>
      <c r="C553" s="1">
        <v>689.89628681177976</v>
      </c>
      <c r="D553">
        <f>ROUND(store_performance[[#This Row],[AverageSales]]/store_performance[[#This Row],[AverageCustomers]],2)</f>
        <v>11.19</v>
      </c>
      <c r="E553" t="str">
        <f>_xlfn.XLOOKUP(store_performance[[#This Row],[Store]],store_clean[Store],store_clean[StoreType],"Not Found")</f>
        <v>a</v>
      </c>
    </row>
    <row r="554" spans="1:5" x14ac:dyDescent="0.2">
      <c r="A554">
        <v>553</v>
      </c>
      <c r="B554" s="1">
        <v>7038.598455598456</v>
      </c>
      <c r="C554" s="1">
        <v>638.7464607464608</v>
      </c>
      <c r="D554">
        <f>ROUND(store_performance[[#This Row],[AverageSales]]/store_performance[[#This Row],[AverageCustomers]],2)</f>
        <v>11.02</v>
      </c>
      <c r="E554" t="str">
        <f>_xlfn.XLOOKUP(store_performance[[#This Row],[Store]],store_clean[Store],store_clean[StoreType],"Not Found")</f>
        <v>c</v>
      </c>
    </row>
    <row r="555" spans="1:5" x14ac:dyDescent="0.2">
      <c r="A555">
        <v>554</v>
      </c>
      <c r="B555" s="1">
        <v>4481.0140306122448</v>
      </c>
      <c r="C555" s="1">
        <v>546.01530612244903</v>
      </c>
      <c r="D555">
        <f>ROUND(store_performance[[#This Row],[AverageSales]]/store_performance[[#This Row],[AverageCustomers]],2)</f>
        <v>8.2100000000000009</v>
      </c>
      <c r="E555" t="str">
        <f>_xlfn.XLOOKUP(store_performance[[#This Row],[Store]],store_clean[Store],store_clean[StoreType],"Not Found")</f>
        <v>c</v>
      </c>
    </row>
    <row r="556" spans="1:5" x14ac:dyDescent="0.2">
      <c r="A556">
        <v>555</v>
      </c>
      <c r="B556" s="1">
        <v>5173.8603531300159</v>
      </c>
      <c r="C556" s="1">
        <v>479.02568218298558</v>
      </c>
      <c r="D556">
        <f>ROUND(store_performance[[#This Row],[AverageSales]]/store_performance[[#This Row],[AverageCustomers]],2)</f>
        <v>10.8</v>
      </c>
      <c r="E556" t="str">
        <f>_xlfn.XLOOKUP(store_performance[[#This Row],[Store]],store_clean[Store],store_clean[StoreType],"Not Found")</f>
        <v>d</v>
      </c>
    </row>
    <row r="557" spans="1:5" x14ac:dyDescent="0.2">
      <c r="A557">
        <v>556</v>
      </c>
      <c r="B557" s="1">
        <v>7178.7535121328228</v>
      </c>
      <c r="C557" s="1">
        <v>830.72413793103453</v>
      </c>
      <c r="D557">
        <f>ROUND(store_performance[[#This Row],[AverageSales]]/store_performance[[#This Row],[AverageCustomers]],2)</f>
        <v>8.64</v>
      </c>
      <c r="E557" t="str">
        <f>_xlfn.XLOOKUP(store_performance[[#This Row],[Store]],store_clean[Store],store_clean[StoreType],"Not Found")</f>
        <v>d</v>
      </c>
    </row>
    <row r="558" spans="1:5" x14ac:dyDescent="0.2">
      <c r="A558">
        <v>557</v>
      </c>
      <c r="B558" s="1">
        <v>4383.0796915167093</v>
      </c>
      <c r="C558" s="1">
        <v>676.01670951156814</v>
      </c>
      <c r="D558">
        <f>ROUND(store_performance[[#This Row],[AverageSales]]/store_performance[[#This Row],[AverageCustomers]],2)</f>
        <v>6.48</v>
      </c>
      <c r="E558" t="str">
        <f>_xlfn.XLOOKUP(store_performance[[#This Row],[Store]],store_clean[Store],store_clean[StoreType],"Not Found")</f>
        <v>a</v>
      </c>
    </row>
    <row r="559" spans="1:5" x14ac:dyDescent="0.2">
      <c r="A559">
        <v>558</v>
      </c>
      <c r="B559" s="1">
        <v>3241.5242346938776</v>
      </c>
      <c r="C559" s="1">
        <v>453.02933673469386</v>
      </c>
      <c r="D559">
        <f>ROUND(store_performance[[#This Row],[AverageSales]]/store_performance[[#This Row],[AverageCustomers]],2)</f>
        <v>7.16</v>
      </c>
      <c r="E559" t="str">
        <f>_xlfn.XLOOKUP(store_performance[[#This Row],[Store]],store_clean[Store],store_clean[StoreType],"Not Found")</f>
        <v>a</v>
      </c>
    </row>
    <row r="560" spans="1:5" x14ac:dyDescent="0.2">
      <c r="A560">
        <v>559</v>
      </c>
      <c r="B560" s="1">
        <v>5882.9615384615381</v>
      </c>
      <c r="C560" s="1">
        <v>750.27820512820517</v>
      </c>
      <c r="D560">
        <f>ROUND(store_performance[[#This Row],[AverageSales]]/store_performance[[#This Row],[AverageCustomers]],2)</f>
        <v>7.84</v>
      </c>
      <c r="E560" t="str">
        <f>_xlfn.XLOOKUP(store_performance[[#This Row],[Store]],store_clean[Store],store_clean[StoreType],"Not Found")</f>
        <v>d</v>
      </c>
    </row>
    <row r="561" spans="1:5" x14ac:dyDescent="0.2">
      <c r="A561">
        <v>560</v>
      </c>
      <c r="B561" s="1">
        <v>13612.859437751003</v>
      </c>
      <c r="C561" s="1">
        <v>1640.2771084337348</v>
      </c>
      <c r="D561">
        <f>ROUND(store_performance[[#This Row],[AverageSales]]/store_performance[[#This Row],[AverageCustomers]],2)</f>
        <v>8.3000000000000007</v>
      </c>
      <c r="E561" t="str">
        <f>_xlfn.XLOOKUP(store_performance[[#This Row],[Store]],store_clean[Store],store_clean[StoreType],"Not Found")</f>
        <v>c</v>
      </c>
    </row>
    <row r="562" spans="1:5" x14ac:dyDescent="0.2">
      <c r="A562">
        <v>561</v>
      </c>
      <c r="B562" s="1">
        <v>6913.8267008985877</v>
      </c>
      <c r="C562" s="1">
        <v>682.91527599486517</v>
      </c>
      <c r="D562">
        <f>ROUND(store_performance[[#This Row],[AverageSales]]/store_performance[[#This Row],[AverageCustomers]],2)</f>
        <v>10.119999999999999</v>
      </c>
      <c r="E562" t="str">
        <f>_xlfn.XLOOKUP(store_performance[[#This Row],[Store]],store_clean[Store],store_clean[StoreType],"Not Found")</f>
        <v>d</v>
      </c>
    </row>
    <row r="563" spans="1:5" x14ac:dyDescent="0.2">
      <c r="A563">
        <v>562</v>
      </c>
      <c r="B563" s="1">
        <v>17969.556263269638</v>
      </c>
      <c r="C563" s="1">
        <v>3105.0530785562632</v>
      </c>
      <c r="D563">
        <f>ROUND(store_performance[[#This Row],[AverageSales]]/store_performance[[#This Row],[AverageCustomers]],2)</f>
        <v>5.79</v>
      </c>
      <c r="E563" t="str">
        <f>_xlfn.XLOOKUP(store_performance[[#This Row],[Store]],store_clean[Store],store_clean[StoreType],"Not Found")</f>
        <v>b</v>
      </c>
    </row>
    <row r="564" spans="1:5" x14ac:dyDescent="0.2">
      <c r="A564">
        <v>563</v>
      </c>
      <c r="B564" s="1">
        <v>5513.4922680412374</v>
      </c>
      <c r="C564" s="1">
        <v>702.62371134020623</v>
      </c>
      <c r="D564">
        <f>ROUND(store_performance[[#This Row],[AverageSales]]/store_performance[[#This Row],[AverageCustomers]],2)</f>
        <v>7.85</v>
      </c>
      <c r="E564" t="str">
        <f>_xlfn.XLOOKUP(store_performance[[#This Row],[Store]],store_clean[Store],store_clean[StoreType],"Not Found")</f>
        <v>a</v>
      </c>
    </row>
    <row r="565" spans="1:5" x14ac:dyDescent="0.2">
      <c r="A565">
        <v>564</v>
      </c>
      <c r="B565" s="1">
        <v>5528.1155327342749</v>
      </c>
      <c r="C565" s="1">
        <v>488.63414634146341</v>
      </c>
      <c r="D565">
        <f>ROUND(store_performance[[#This Row],[AverageSales]]/store_performance[[#This Row],[AverageCustomers]],2)</f>
        <v>11.31</v>
      </c>
      <c r="E565" t="str">
        <f>_xlfn.XLOOKUP(store_performance[[#This Row],[Store]],store_clean[Store],store_clean[StoreType],"Not Found")</f>
        <v>d</v>
      </c>
    </row>
    <row r="566" spans="1:5" x14ac:dyDescent="0.2">
      <c r="A566">
        <v>565</v>
      </c>
      <c r="B566" s="1">
        <v>6636.4172015404365</v>
      </c>
      <c r="C566" s="1">
        <v>792.31707317073176</v>
      </c>
      <c r="D566">
        <f>ROUND(store_performance[[#This Row],[AverageSales]]/store_performance[[#This Row],[AverageCustomers]],2)</f>
        <v>8.3800000000000008</v>
      </c>
      <c r="E566" t="str">
        <f>_xlfn.XLOOKUP(store_performance[[#This Row],[Store]],store_clean[Store],store_clean[StoreType],"Not Found")</f>
        <v>a</v>
      </c>
    </row>
    <row r="567" spans="1:5" x14ac:dyDescent="0.2">
      <c r="A567">
        <v>566</v>
      </c>
      <c r="B567" s="1">
        <v>4904.6390306122448</v>
      </c>
      <c r="C567" s="1">
        <v>544.84311224489795</v>
      </c>
      <c r="D567">
        <f>ROUND(store_performance[[#This Row],[AverageSales]]/store_performance[[#This Row],[AverageCustomers]],2)</f>
        <v>9</v>
      </c>
      <c r="E567" t="str">
        <f>_xlfn.XLOOKUP(store_performance[[#This Row],[Store]],store_clean[Store],store_clean[StoreType],"Not Found")</f>
        <v>a</v>
      </c>
    </row>
    <row r="568" spans="1:5" x14ac:dyDescent="0.2">
      <c r="A568">
        <v>567</v>
      </c>
      <c r="B568" s="1">
        <v>5241.5044929396663</v>
      </c>
      <c r="C568" s="1">
        <v>671.41976893453148</v>
      </c>
      <c r="D568">
        <f>ROUND(store_performance[[#This Row],[AverageSales]]/store_performance[[#This Row],[AverageCustomers]],2)</f>
        <v>7.81</v>
      </c>
      <c r="E568" t="str">
        <f>_xlfn.XLOOKUP(store_performance[[#This Row],[Store]],store_clean[Store],store_clean[StoreType],"Not Found")</f>
        <v>c</v>
      </c>
    </row>
    <row r="569" spans="1:5" x14ac:dyDescent="0.2">
      <c r="A569">
        <v>568</v>
      </c>
      <c r="B569" s="1">
        <v>4877.4967989756724</v>
      </c>
      <c r="C569" s="1">
        <v>413.90012804097313</v>
      </c>
      <c r="D569">
        <f>ROUND(store_performance[[#This Row],[AverageSales]]/store_performance[[#This Row],[AverageCustomers]],2)</f>
        <v>11.78</v>
      </c>
      <c r="E569" t="str">
        <f>_xlfn.XLOOKUP(store_performance[[#This Row],[Store]],store_clean[Store],store_clean[StoreType],"Not Found")</f>
        <v>d</v>
      </c>
    </row>
    <row r="570" spans="1:5" x14ac:dyDescent="0.2">
      <c r="A570">
        <v>569</v>
      </c>
      <c r="B570" s="1">
        <v>4519.5561224489793</v>
      </c>
      <c r="C570" s="1">
        <v>652.85204081632651</v>
      </c>
      <c r="D570">
        <f>ROUND(store_performance[[#This Row],[AverageSales]]/store_performance[[#This Row],[AverageCustomers]],2)</f>
        <v>6.92</v>
      </c>
      <c r="E570" t="str">
        <f>_xlfn.XLOOKUP(store_performance[[#This Row],[Store]],store_clean[Store],store_clean[StoreType],"Not Found")</f>
        <v>a</v>
      </c>
    </row>
    <row r="571" spans="1:5" x14ac:dyDescent="0.2">
      <c r="A571">
        <v>570</v>
      </c>
      <c r="B571" s="1">
        <v>4535.4043645699612</v>
      </c>
      <c r="C571" s="1">
        <v>661.790757381258</v>
      </c>
      <c r="D571">
        <f>ROUND(store_performance[[#This Row],[AverageSales]]/store_performance[[#This Row],[AverageCustomers]],2)</f>
        <v>6.85</v>
      </c>
      <c r="E571" t="str">
        <f>_xlfn.XLOOKUP(store_performance[[#This Row],[Store]],store_clean[Store],store_clean[StoreType],"Not Found")</f>
        <v>a</v>
      </c>
    </row>
    <row r="572" spans="1:5" x14ac:dyDescent="0.2">
      <c r="A572">
        <v>571</v>
      </c>
      <c r="B572" s="1">
        <v>7742.7508038585211</v>
      </c>
      <c r="C572" s="1">
        <v>575.63826366559488</v>
      </c>
      <c r="D572">
        <f>ROUND(store_performance[[#This Row],[AverageSales]]/store_performance[[#This Row],[AverageCustomers]],2)</f>
        <v>13.45</v>
      </c>
      <c r="E572" t="str">
        <f>_xlfn.XLOOKUP(store_performance[[#This Row],[Store]],store_clean[Store],store_clean[StoreType],"Not Found")</f>
        <v>d</v>
      </c>
    </row>
    <row r="573" spans="1:5" x14ac:dyDescent="0.2">
      <c r="A573">
        <v>572</v>
      </c>
      <c r="B573" s="1">
        <v>6888.75</v>
      </c>
      <c r="C573" s="1">
        <v>571.51546391752572</v>
      </c>
      <c r="D573">
        <f>ROUND(store_performance[[#This Row],[AverageSales]]/store_performance[[#This Row],[AverageCustomers]],2)</f>
        <v>12.05</v>
      </c>
      <c r="E573" t="str">
        <f>_xlfn.XLOOKUP(store_performance[[#This Row],[Store]],store_clean[Store],store_clean[StoreType],"Not Found")</f>
        <v>d</v>
      </c>
    </row>
    <row r="574" spans="1:5" x14ac:dyDescent="0.2">
      <c r="A574">
        <v>573</v>
      </c>
      <c r="B574" s="1">
        <v>3974.7733118971059</v>
      </c>
      <c r="C574" s="1">
        <v>335.40514469453376</v>
      </c>
      <c r="D574">
        <f>ROUND(store_performance[[#This Row],[AverageSales]]/store_performance[[#This Row],[AverageCustomers]],2)</f>
        <v>11.85</v>
      </c>
      <c r="E574" t="str">
        <f>_xlfn.XLOOKUP(store_performance[[#This Row],[Store]],store_clean[Store],store_clean[StoreType],"Not Found")</f>
        <v>a</v>
      </c>
    </row>
    <row r="575" spans="1:5" x14ac:dyDescent="0.2">
      <c r="A575">
        <v>574</v>
      </c>
      <c r="B575" s="1">
        <v>8898.2175032175037</v>
      </c>
      <c r="C575" s="1">
        <v>666.57400257400252</v>
      </c>
      <c r="D575">
        <f>ROUND(store_performance[[#This Row],[AverageSales]]/store_performance[[#This Row],[AverageCustomers]],2)</f>
        <v>13.35</v>
      </c>
      <c r="E575" t="str">
        <f>_xlfn.XLOOKUP(store_performance[[#This Row],[Store]],store_clean[Store],store_clean[StoreType],"Not Found")</f>
        <v>d</v>
      </c>
    </row>
    <row r="576" spans="1:5" x14ac:dyDescent="0.2">
      <c r="A576">
        <v>575</v>
      </c>
      <c r="B576" s="1">
        <v>5367.5666131621192</v>
      </c>
      <c r="C576" s="1">
        <v>492.95666131621186</v>
      </c>
      <c r="D576">
        <f>ROUND(store_performance[[#This Row],[AverageSales]]/store_performance[[#This Row],[AverageCustomers]],2)</f>
        <v>10.89</v>
      </c>
      <c r="E576" t="str">
        <f>_xlfn.XLOOKUP(store_performance[[#This Row],[Store]],store_clean[Store],store_clean[StoreType],"Not Found")</f>
        <v>a</v>
      </c>
    </row>
    <row r="577" spans="1:5" x14ac:dyDescent="0.2">
      <c r="A577">
        <v>576</v>
      </c>
      <c r="B577" s="1">
        <v>6982.5178571428569</v>
      </c>
      <c r="C577" s="1">
        <v>965.07015306122446</v>
      </c>
      <c r="D577">
        <f>ROUND(store_performance[[#This Row],[AverageSales]]/store_performance[[#This Row],[AverageCustomers]],2)</f>
        <v>7.24</v>
      </c>
      <c r="E577" t="str">
        <f>_xlfn.XLOOKUP(store_performance[[#This Row],[Store]],store_clean[Store],store_clean[StoreType],"Not Found")</f>
        <v>c</v>
      </c>
    </row>
    <row r="578" spans="1:5" x14ac:dyDescent="0.2">
      <c r="A578">
        <v>577</v>
      </c>
      <c r="B578" s="1">
        <v>4953.4170918367345</v>
      </c>
      <c r="C578" s="1">
        <v>583.3762755102041</v>
      </c>
      <c r="D578">
        <f>ROUND(store_performance[[#This Row],[AverageSales]]/store_performance[[#This Row],[AverageCustomers]],2)</f>
        <v>8.49</v>
      </c>
      <c r="E578" t="str">
        <f>_xlfn.XLOOKUP(store_performance[[#This Row],[Store]],store_clean[Store],store_clean[StoreType],"Not Found")</f>
        <v>a</v>
      </c>
    </row>
    <row r="579" spans="1:5" x14ac:dyDescent="0.2">
      <c r="A579">
        <v>578</v>
      </c>
      <c r="B579" s="1">
        <v>8164.3917869034403</v>
      </c>
      <c r="C579" s="1">
        <v>773.63928967813536</v>
      </c>
      <c r="D579">
        <f>ROUND(store_performance[[#This Row],[AverageSales]]/store_performance[[#This Row],[AverageCustomers]],2)</f>
        <v>10.55</v>
      </c>
      <c r="E579" t="str">
        <f>_xlfn.XLOOKUP(store_performance[[#This Row],[Store]],store_clean[Store],store_clean[StoreType],"Not Found")</f>
        <v>d</v>
      </c>
    </row>
    <row r="580" spans="1:5" x14ac:dyDescent="0.2">
      <c r="A580">
        <v>579</v>
      </c>
      <c r="B580" s="1">
        <v>8294.3478818998719</v>
      </c>
      <c r="C580" s="1">
        <v>911.40179717586648</v>
      </c>
      <c r="D580">
        <f>ROUND(store_performance[[#This Row],[AverageSales]]/store_performance[[#This Row],[AverageCustomers]],2)</f>
        <v>9.1</v>
      </c>
      <c r="E580" t="str">
        <f>_xlfn.XLOOKUP(store_performance[[#This Row],[Store]],store_clean[Store],store_clean[StoreType],"Not Found")</f>
        <v>c</v>
      </c>
    </row>
    <row r="581" spans="1:5" x14ac:dyDescent="0.2">
      <c r="A581">
        <v>580</v>
      </c>
      <c r="B581" s="1">
        <v>10197.661989795919</v>
      </c>
      <c r="C581" s="1">
        <v>1602.7474489795918</v>
      </c>
      <c r="D581">
        <f>ROUND(store_performance[[#This Row],[AverageSales]]/store_performance[[#This Row],[AverageCustomers]],2)</f>
        <v>6.36</v>
      </c>
      <c r="E581" t="str">
        <f>_xlfn.XLOOKUP(store_performance[[#This Row],[Store]],store_clean[Store],store_clean[StoreType],"Not Found")</f>
        <v>a</v>
      </c>
    </row>
    <row r="582" spans="1:5" x14ac:dyDescent="0.2">
      <c r="A582">
        <v>581</v>
      </c>
      <c r="B582" s="1">
        <v>5333.7188703465981</v>
      </c>
      <c r="C582" s="1">
        <v>587.64698331193836</v>
      </c>
      <c r="D582">
        <f>ROUND(store_performance[[#This Row],[AverageSales]]/store_performance[[#This Row],[AverageCustomers]],2)</f>
        <v>9.08</v>
      </c>
      <c r="E582" t="str">
        <f>_xlfn.XLOOKUP(store_performance[[#This Row],[Store]],store_clean[Store],store_clean[StoreType],"Not Found")</f>
        <v>a</v>
      </c>
    </row>
    <row r="583" spans="1:5" x14ac:dyDescent="0.2">
      <c r="A583">
        <v>582</v>
      </c>
      <c r="B583" s="1">
        <v>7023.0831202046038</v>
      </c>
      <c r="C583" s="1">
        <v>863.31841432225065</v>
      </c>
      <c r="D583">
        <f>ROUND(store_performance[[#This Row],[AverageSales]]/store_performance[[#This Row],[AverageCustomers]],2)</f>
        <v>8.1300000000000008</v>
      </c>
      <c r="E583" t="str">
        <f>_xlfn.XLOOKUP(store_performance[[#This Row],[Store]],store_clean[Store],store_clean[StoreType],"Not Found")</f>
        <v>a</v>
      </c>
    </row>
    <row r="584" spans="1:5" x14ac:dyDescent="0.2">
      <c r="A584">
        <v>583</v>
      </c>
      <c r="B584" s="1">
        <v>4311.9076923076927</v>
      </c>
      <c r="C584" s="1">
        <v>449.08076923076925</v>
      </c>
      <c r="D584">
        <f>ROUND(store_performance[[#This Row],[AverageSales]]/store_performance[[#This Row],[AverageCustomers]],2)</f>
        <v>9.6</v>
      </c>
      <c r="E584" t="str">
        <f>_xlfn.XLOOKUP(store_performance[[#This Row],[Store]],store_clean[Store],store_clean[StoreType],"Not Found")</f>
        <v>a</v>
      </c>
    </row>
    <row r="585" spans="1:5" x14ac:dyDescent="0.2">
      <c r="A585">
        <v>584</v>
      </c>
      <c r="B585" s="1">
        <v>4734.8962868117796</v>
      </c>
      <c r="C585" s="1">
        <v>433.43405889884764</v>
      </c>
      <c r="D585">
        <f>ROUND(store_performance[[#This Row],[AverageSales]]/store_performance[[#This Row],[AverageCustomers]],2)</f>
        <v>10.92</v>
      </c>
      <c r="E585" t="str">
        <f>_xlfn.XLOOKUP(store_performance[[#This Row],[Store]],store_clean[Store],store_clean[StoreType],"Not Found")</f>
        <v>d</v>
      </c>
    </row>
    <row r="586" spans="1:5" x14ac:dyDescent="0.2">
      <c r="A586">
        <v>585</v>
      </c>
      <c r="B586" s="1">
        <v>5675.1568877551017</v>
      </c>
      <c r="C586" s="1">
        <v>862.9987244897959</v>
      </c>
      <c r="D586">
        <f>ROUND(store_performance[[#This Row],[AverageSales]]/store_performance[[#This Row],[AverageCustomers]],2)</f>
        <v>6.58</v>
      </c>
      <c r="E586" t="str">
        <f>_xlfn.XLOOKUP(store_performance[[#This Row],[Store]],store_clean[Store],store_clean[StoreType],"Not Found")</f>
        <v>d</v>
      </c>
    </row>
    <row r="587" spans="1:5" x14ac:dyDescent="0.2">
      <c r="A587">
        <v>586</v>
      </c>
      <c r="B587" s="1">
        <v>15131.960051546392</v>
      </c>
      <c r="C587" s="1">
        <v>2361.4149484536083</v>
      </c>
      <c r="D587">
        <f>ROUND(store_performance[[#This Row],[AverageSales]]/store_performance[[#This Row],[AverageCustomers]],2)</f>
        <v>6.41</v>
      </c>
      <c r="E587" t="str">
        <f>_xlfn.XLOOKUP(store_performance[[#This Row],[Store]],store_clean[Store],store_clean[StoreType],"Not Found")</f>
        <v>a</v>
      </c>
    </row>
    <row r="588" spans="1:5" x14ac:dyDescent="0.2">
      <c r="A588">
        <v>587</v>
      </c>
      <c r="B588" s="1">
        <v>9663.2857142857138</v>
      </c>
      <c r="C588" s="1">
        <v>685.68860353130015</v>
      </c>
      <c r="D588">
        <f>ROUND(store_performance[[#This Row],[AverageSales]]/store_performance[[#This Row],[AverageCustomers]],2)</f>
        <v>14.09</v>
      </c>
      <c r="E588" t="str">
        <f>_xlfn.XLOOKUP(store_performance[[#This Row],[Store]],store_clean[Store],store_clean[StoreType],"Not Found")</f>
        <v>d</v>
      </c>
    </row>
    <row r="589" spans="1:5" x14ac:dyDescent="0.2">
      <c r="A589">
        <v>588</v>
      </c>
      <c r="B589" s="1">
        <v>6154.6109693877552</v>
      </c>
      <c r="C589" s="1">
        <v>661.1466836734694</v>
      </c>
      <c r="D589">
        <f>ROUND(store_performance[[#This Row],[AverageSales]]/store_performance[[#This Row],[AverageCustomers]],2)</f>
        <v>9.31</v>
      </c>
      <c r="E589" t="str">
        <f>_xlfn.XLOOKUP(store_performance[[#This Row],[Store]],store_clean[Store],store_clean[StoreType],"Not Found")</f>
        <v>d</v>
      </c>
    </row>
    <row r="590" spans="1:5" x14ac:dyDescent="0.2">
      <c r="A590">
        <v>589</v>
      </c>
      <c r="B590" s="1">
        <v>4672.6221928665782</v>
      </c>
      <c r="C590" s="1">
        <v>493.86789960369879</v>
      </c>
      <c r="D590">
        <f>ROUND(store_performance[[#This Row],[AverageSales]]/store_performance[[#This Row],[AverageCustomers]],2)</f>
        <v>9.4600000000000009</v>
      </c>
      <c r="E590" t="str">
        <f>_xlfn.XLOOKUP(store_performance[[#This Row],[Store]],store_clean[Store],store_clean[StoreType],"Not Found")</f>
        <v>a</v>
      </c>
    </row>
    <row r="591" spans="1:5" x14ac:dyDescent="0.2">
      <c r="A591">
        <v>590</v>
      </c>
      <c r="B591" s="1">
        <v>4984.1698841698844</v>
      </c>
      <c r="C591" s="1">
        <v>391.59974259974263</v>
      </c>
      <c r="D591">
        <f>ROUND(store_performance[[#This Row],[AverageSales]]/store_performance[[#This Row],[AverageCustomers]],2)</f>
        <v>12.73</v>
      </c>
      <c r="E591" t="str">
        <f>_xlfn.XLOOKUP(store_performance[[#This Row],[Store]],store_clean[Store],store_clean[StoreType],"Not Found")</f>
        <v>d</v>
      </c>
    </row>
    <row r="592" spans="1:5" x14ac:dyDescent="0.2">
      <c r="A592">
        <v>591</v>
      </c>
      <c r="B592" s="1">
        <v>5700.7052767052764</v>
      </c>
      <c r="C592" s="1">
        <v>498.72200772200773</v>
      </c>
      <c r="D592">
        <f>ROUND(store_performance[[#This Row],[AverageSales]]/store_performance[[#This Row],[AverageCustomers]],2)</f>
        <v>11.43</v>
      </c>
      <c r="E592" t="str">
        <f>_xlfn.XLOOKUP(store_performance[[#This Row],[Store]],store_clean[Store],store_clean[StoreType],"Not Found")</f>
        <v>a</v>
      </c>
    </row>
    <row r="593" spans="1:5" x14ac:dyDescent="0.2">
      <c r="A593">
        <v>592</v>
      </c>
      <c r="B593" s="1">
        <v>4448.5109114249035</v>
      </c>
      <c r="C593" s="1">
        <v>570.01026957637998</v>
      </c>
      <c r="D593">
        <f>ROUND(store_performance[[#This Row],[AverageSales]]/store_performance[[#This Row],[AverageCustomers]],2)</f>
        <v>7.8</v>
      </c>
      <c r="E593" t="str">
        <f>_xlfn.XLOOKUP(store_performance[[#This Row],[Store]],store_clean[Store],store_clean[StoreType],"Not Found")</f>
        <v>a</v>
      </c>
    </row>
    <row r="594" spans="1:5" x14ac:dyDescent="0.2">
      <c r="A594">
        <v>593</v>
      </c>
      <c r="B594" s="1">
        <v>9507.9566326530621</v>
      </c>
      <c r="C594" s="1">
        <v>1231.766581632653</v>
      </c>
      <c r="D594">
        <f>ROUND(store_performance[[#This Row],[AverageSales]]/store_performance[[#This Row],[AverageCustomers]],2)</f>
        <v>7.72</v>
      </c>
      <c r="E594" t="str">
        <f>_xlfn.XLOOKUP(store_performance[[#This Row],[Store]],store_clean[Store],store_clean[StoreType],"Not Found")</f>
        <v>a</v>
      </c>
    </row>
    <row r="595" spans="1:5" x14ac:dyDescent="0.2">
      <c r="A595">
        <v>594</v>
      </c>
      <c r="B595" s="1">
        <v>4155.8660714285716</v>
      </c>
      <c r="C595" s="1">
        <v>456.67602040816325</v>
      </c>
      <c r="D595">
        <f>ROUND(store_performance[[#This Row],[AverageSales]]/store_performance[[#This Row],[AverageCustomers]],2)</f>
        <v>9.1</v>
      </c>
      <c r="E595" t="str">
        <f>_xlfn.XLOOKUP(store_performance[[#This Row],[Store]],store_clean[Store],store_clean[StoreType],"Not Found")</f>
        <v>a</v>
      </c>
    </row>
    <row r="596" spans="1:5" x14ac:dyDescent="0.2">
      <c r="A596">
        <v>595</v>
      </c>
      <c r="B596" s="1">
        <v>15019.109693877552</v>
      </c>
      <c r="C596" s="1">
        <v>1763.4132653061224</v>
      </c>
      <c r="D596">
        <f>ROUND(store_performance[[#This Row],[AverageSales]]/store_performance[[#This Row],[AverageCustomers]],2)</f>
        <v>8.52</v>
      </c>
      <c r="E596" t="str">
        <f>_xlfn.XLOOKUP(store_performance[[#This Row],[Store]],store_clean[Store],store_clean[StoreType],"Not Found")</f>
        <v>c</v>
      </c>
    </row>
    <row r="597" spans="1:5" x14ac:dyDescent="0.2">
      <c r="A597">
        <v>596</v>
      </c>
      <c r="B597" s="1">
        <v>4505.8188775510207</v>
      </c>
      <c r="C597" s="1">
        <v>698.38647959183675</v>
      </c>
      <c r="D597">
        <f>ROUND(store_performance[[#This Row],[AverageSales]]/store_performance[[#This Row],[AverageCustomers]],2)</f>
        <v>6.45</v>
      </c>
      <c r="E597" t="str">
        <f>_xlfn.XLOOKUP(store_performance[[#This Row],[Store]],store_clean[Store],store_clean[StoreType],"Not Found")</f>
        <v>c</v>
      </c>
    </row>
    <row r="598" spans="1:5" x14ac:dyDescent="0.2">
      <c r="A598">
        <v>597</v>
      </c>
      <c r="B598" s="1">
        <v>5080.2246469833117</v>
      </c>
      <c r="C598" s="1">
        <v>727.52503209242616</v>
      </c>
      <c r="D598">
        <f>ROUND(store_performance[[#This Row],[AverageSales]]/store_performance[[#This Row],[AverageCustomers]],2)</f>
        <v>6.98</v>
      </c>
      <c r="E598" t="str">
        <f>_xlfn.XLOOKUP(store_performance[[#This Row],[Store]],store_clean[Store],store_clean[StoreType],"Not Found")</f>
        <v>a</v>
      </c>
    </row>
    <row r="599" spans="1:5" x14ac:dyDescent="0.2">
      <c r="A599">
        <v>598</v>
      </c>
      <c r="B599" s="1">
        <v>5892.2926045016075</v>
      </c>
      <c r="C599" s="1">
        <v>728.60128617363341</v>
      </c>
      <c r="D599">
        <f>ROUND(store_performance[[#This Row],[AverageSales]]/store_performance[[#This Row],[AverageCustomers]],2)</f>
        <v>8.09</v>
      </c>
      <c r="E599" t="str">
        <f>_xlfn.XLOOKUP(store_performance[[#This Row],[Store]],store_clean[Store],store_clean[StoreType],"Not Found")</f>
        <v>c</v>
      </c>
    </row>
    <row r="600" spans="1:5" x14ac:dyDescent="0.2">
      <c r="A600">
        <v>599</v>
      </c>
      <c r="B600" s="1">
        <v>9769.7270408163258</v>
      </c>
      <c r="C600" s="1">
        <v>875.5637755102041</v>
      </c>
      <c r="D600">
        <f>ROUND(store_performance[[#This Row],[AverageSales]]/store_performance[[#This Row],[AverageCustomers]],2)</f>
        <v>11.16</v>
      </c>
      <c r="E600" t="str">
        <f>_xlfn.XLOOKUP(store_performance[[#This Row],[Store]],store_clean[Store],store_clean[StoreType],"Not Found")</f>
        <v>d</v>
      </c>
    </row>
    <row r="601" spans="1:5" x14ac:dyDescent="0.2">
      <c r="A601">
        <v>600</v>
      </c>
      <c r="B601" s="1">
        <v>6996.6173469387759</v>
      </c>
      <c r="C601" s="1">
        <v>619.25382653061229</v>
      </c>
      <c r="D601">
        <f>ROUND(store_performance[[#This Row],[AverageSales]]/store_performance[[#This Row],[AverageCustomers]],2)</f>
        <v>11.3</v>
      </c>
      <c r="E601" t="str">
        <f>_xlfn.XLOOKUP(store_performance[[#This Row],[Store]],store_clean[Store],store_clean[StoreType],"Not Found")</f>
        <v>d</v>
      </c>
    </row>
    <row r="602" spans="1:5" x14ac:dyDescent="0.2">
      <c r="A602">
        <v>601</v>
      </c>
      <c r="B602" s="1">
        <v>4875.7695262483994</v>
      </c>
      <c r="C602" s="1">
        <v>394.29065300896286</v>
      </c>
      <c r="D602">
        <f>ROUND(store_performance[[#This Row],[AverageSales]]/store_performance[[#This Row],[AverageCustomers]],2)</f>
        <v>12.37</v>
      </c>
      <c r="E602" t="str">
        <f>_xlfn.XLOOKUP(store_performance[[#This Row],[Store]],store_clean[Store],store_clean[StoreType],"Not Found")</f>
        <v>d</v>
      </c>
    </row>
    <row r="603" spans="1:5" x14ac:dyDescent="0.2">
      <c r="A603">
        <v>602</v>
      </c>
      <c r="B603" s="1">
        <v>6300.1677336747762</v>
      </c>
      <c r="C603" s="1">
        <v>614.19718309859149</v>
      </c>
      <c r="D603">
        <f>ROUND(store_performance[[#This Row],[AverageSales]]/store_performance[[#This Row],[AverageCustomers]],2)</f>
        <v>10.26</v>
      </c>
      <c r="E603" t="str">
        <f>_xlfn.XLOOKUP(store_performance[[#This Row],[Store]],store_clean[Store],store_clean[StoreType],"Not Found")</f>
        <v>a</v>
      </c>
    </row>
    <row r="604" spans="1:5" x14ac:dyDescent="0.2">
      <c r="A604">
        <v>603</v>
      </c>
      <c r="B604" s="1">
        <v>6933.3141361256548</v>
      </c>
      <c r="C604" s="1">
        <v>945.63481675392666</v>
      </c>
      <c r="D604">
        <f>ROUND(store_performance[[#This Row],[AverageSales]]/store_performance[[#This Row],[AverageCustomers]],2)</f>
        <v>7.33</v>
      </c>
      <c r="E604" t="str">
        <f>_xlfn.XLOOKUP(store_performance[[#This Row],[Store]],store_clean[Store],store_clean[StoreType],"Not Found")</f>
        <v>a</v>
      </c>
    </row>
    <row r="605" spans="1:5" x14ac:dyDescent="0.2">
      <c r="A605">
        <v>604</v>
      </c>
      <c r="B605" s="1">
        <v>7963.9887459807078</v>
      </c>
      <c r="C605" s="1">
        <v>591.7636655948553</v>
      </c>
      <c r="D605">
        <f>ROUND(store_performance[[#This Row],[AverageSales]]/store_performance[[#This Row],[AverageCustomers]],2)</f>
        <v>13.46</v>
      </c>
      <c r="E605" t="str">
        <f>_xlfn.XLOOKUP(store_performance[[#This Row],[Store]],store_clean[Store],store_clean[StoreType],"Not Found")</f>
        <v>d</v>
      </c>
    </row>
    <row r="606" spans="1:5" x14ac:dyDescent="0.2">
      <c r="A606">
        <v>605</v>
      </c>
      <c r="B606" s="1">
        <v>7026.7352185089976</v>
      </c>
      <c r="C606" s="1">
        <v>508.71465295629821</v>
      </c>
      <c r="D606">
        <f>ROUND(store_performance[[#This Row],[AverageSales]]/store_performance[[#This Row],[AverageCustomers]],2)</f>
        <v>13.81</v>
      </c>
      <c r="E606" t="str">
        <f>_xlfn.XLOOKUP(store_performance[[#This Row],[Store]],store_clean[Store],store_clean[StoreType],"Not Found")</f>
        <v>d</v>
      </c>
    </row>
    <row r="607" spans="1:5" x14ac:dyDescent="0.2">
      <c r="A607">
        <v>606</v>
      </c>
      <c r="B607" s="1">
        <v>5839.2104591836733</v>
      </c>
      <c r="C607" s="1">
        <v>620.82142857142856</v>
      </c>
      <c r="D607">
        <f>ROUND(store_performance[[#This Row],[AverageSales]]/store_performance[[#This Row],[AverageCustomers]],2)</f>
        <v>9.41</v>
      </c>
      <c r="E607" t="str">
        <f>_xlfn.XLOOKUP(store_performance[[#This Row],[Store]],store_clean[Store],store_clean[StoreType],"Not Found")</f>
        <v>a</v>
      </c>
    </row>
    <row r="608" spans="1:5" x14ac:dyDescent="0.2">
      <c r="A608">
        <v>607</v>
      </c>
      <c r="B608" s="1">
        <v>3901.9104859335039</v>
      </c>
      <c r="C608" s="1">
        <v>414.07544757033247</v>
      </c>
      <c r="D608">
        <f>ROUND(store_performance[[#This Row],[AverageSales]]/store_performance[[#This Row],[AverageCustomers]],2)</f>
        <v>9.42</v>
      </c>
      <c r="E608" t="str">
        <f>_xlfn.XLOOKUP(store_performance[[#This Row],[Store]],store_clean[Store],store_clean[StoreType],"Not Found")</f>
        <v>a</v>
      </c>
    </row>
    <row r="609" spans="1:5" x14ac:dyDescent="0.2">
      <c r="A609">
        <v>608</v>
      </c>
      <c r="B609" s="1">
        <v>9326.9717948717953</v>
      </c>
      <c r="C609" s="1">
        <v>942.57564102564106</v>
      </c>
      <c r="D609">
        <f>ROUND(store_performance[[#This Row],[AverageSales]]/store_performance[[#This Row],[AverageCustomers]],2)</f>
        <v>9.9</v>
      </c>
      <c r="E609" t="str">
        <f>_xlfn.XLOOKUP(store_performance[[#This Row],[Store]],store_clean[Store],store_clean[StoreType],"Not Found")</f>
        <v>a</v>
      </c>
    </row>
    <row r="610" spans="1:5" x14ac:dyDescent="0.2">
      <c r="A610">
        <v>609</v>
      </c>
      <c r="B610" s="1">
        <v>4638.0484693877552</v>
      </c>
      <c r="C610" s="1">
        <v>504.61989795918367</v>
      </c>
      <c r="D610">
        <f>ROUND(store_performance[[#This Row],[AverageSales]]/store_performance[[#This Row],[AverageCustomers]],2)</f>
        <v>9.19</v>
      </c>
      <c r="E610" t="str">
        <f>_xlfn.XLOOKUP(store_performance[[#This Row],[Store]],store_clean[Store],store_clean[StoreType],"Not Found")</f>
        <v>a</v>
      </c>
    </row>
    <row r="611" spans="1:5" x14ac:dyDescent="0.2">
      <c r="A611">
        <v>610</v>
      </c>
      <c r="B611" s="1">
        <v>4197.6302952503211</v>
      </c>
      <c r="C611" s="1">
        <v>520.39922978177151</v>
      </c>
      <c r="D611">
        <f>ROUND(store_performance[[#This Row],[AverageSales]]/store_performance[[#This Row],[AverageCustomers]],2)</f>
        <v>8.07</v>
      </c>
      <c r="E611" t="str">
        <f>_xlfn.XLOOKUP(store_performance[[#This Row],[Store]],store_clean[Store],store_clean[StoreType],"Not Found")</f>
        <v>a</v>
      </c>
    </row>
    <row r="612" spans="1:5" x14ac:dyDescent="0.2">
      <c r="A612">
        <v>611</v>
      </c>
      <c r="B612" s="1">
        <v>5792.3038585209006</v>
      </c>
      <c r="C612" s="1">
        <v>490.52411575562701</v>
      </c>
      <c r="D612">
        <f>ROUND(store_performance[[#This Row],[AverageSales]]/store_performance[[#This Row],[AverageCustomers]],2)</f>
        <v>11.81</v>
      </c>
      <c r="E612" t="str">
        <f>_xlfn.XLOOKUP(store_performance[[#This Row],[Store]],store_clean[Store],store_clean[StoreType],"Not Found")</f>
        <v>a</v>
      </c>
    </row>
    <row r="613" spans="1:5" x14ac:dyDescent="0.2">
      <c r="A613">
        <v>612</v>
      </c>
      <c r="B613" s="1">
        <v>6816.0882825040126</v>
      </c>
      <c r="C613" s="1">
        <v>424.17817014446229</v>
      </c>
      <c r="D613">
        <f>ROUND(store_performance[[#This Row],[AverageSales]]/store_performance[[#This Row],[AverageCustomers]],2)</f>
        <v>16.07</v>
      </c>
      <c r="E613" t="str">
        <f>_xlfn.XLOOKUP(store_performance[[#This Row],[Store]],store_clean[Store],store_clean[StoreType],"Not Found")</f>
        <v>d</v>
      </c>
    </row>
    <row r="614" spans="1:5" x14ac:dyDescent="0.2">
      <c r="A614">
        <v>613</v>
      </c>
      <c r="B614" s="1">
        <v>6728.3721227621481</v>
      </c>
      <c r="C614" s="1">
        <v>1000.8503836317135</v>
      </c>
      <c r="D614">
        <f>ROUND(store_performance[[#This Row],[AverageSales]]/store_performance[[#This Row],[AverageCustomers]],2)</f>
        <v>6.72</v>
      </c>
      <c r="E614" t="str">
        <f>_xlfn.XLOOKUP(store_performance[[#This Row],[Store]],store_clean[Store],store_clean[StoreType],"Not Found")</f>
        <v>c</v>
      </c>
    </row>
    <row r="615" spans="1:5" x14ac:dyDescent="0.2">
      <c r="A615">
        <v>614</v>
      </c>
      <c r="B615" s="1">
        <v>6590.6153846153848</v>
      </c>
      <c r="C615" s="1">
        <v>941.18589743589746</v>
      </c>
      <c r="D615">
        <f>ROUND(store_performance[[#This Row],[AverageSales]]/store_performance[[#This Row],[AverageCustomers]],2)</f>
        <v>7</v>
      </c>
      <c r="E615" t="str">
        <f>_xlfn.XLOOKUP(store_performance[[#This Row],[Store]],store_clean[Store],store_clean[StoreType],"Not Found")</f>
        <v>a</v>
      </c>
    </row>
    <row r="616" spans="1:5" x14ac:dyDescent="0.2">
      <c r="A616">
        <v>615</v>
      </c>
      <c r="B616" s="1">
        <v>9712.4212548015366</v>
      </c>
      <c r="C616" s="1">
        <v>1240.1075544174137</v>
      </c>
      <c r="D616">
        <f>ROUND(store_performance[[#This Row],[AverageSales]]/store_performance[[#This Row],[AverageCustomers]],2)</f>
        <v>7.83</v>
      </c>
      <c r="E616" t="str">
        <f>_xlfn.XLOOKUP(store_performance[[#This Row],[Store]],store_clean[Store],store_clean[StoreType],"Not Found")</f>
        <v>d</v>
      </c>
    </row>
    <row r="617" spans="1:5" x14ac:dyDescent="0.2">
      <c r="A617">
        <v>616</v>
      </c>
      <c r="B617" s="1">
        <v>8487.5121951219517</v>
      </c>
      <c r="C617" s="1">
        <v>830.42105263157896</v>
      </c>
      <c r="D617">
        <f>ROUND(store_performance[[#This Row],[AverageSales]]/store_performance[[#This Row],[AverageCustomers]],2)</f>
        <v>10.220000000000001</v>
      </c>
      <c r="E617" t="str">
        <f>_xlfn.XLOOKUP(store_performance[[#This Row],[Store]],store_clean[Store],store_clean[StoreType],"Not Found")</f>
        <v>a</v>
      </c>
    </row>
    <row r="618" spans="1:5" x14ac:dyDescent="0.2">
      <c r="A618">
        <v>617</v>
      </c>
      <c r="B618" s="1">
        <v>6359.1653846153849</v>
      </c>
      <c r="C618" s="1">
        <v>574.6948717948718</v>
      </c>
      <c r="D618">
        <f>ROUND(store_performance[[#This Row],[AverageSales]]/store_performance[[#This Row],[AverageCustomers]],2)</f>
        <v>11.07</v>
      </c>
      <c r="E618" t="str">
        <f>_xlfn.XLOOKUP(store_performance[[#This Row],[Store]],store_clean[Store],store_clean[StoreType],"Not Found")</f>
        <v>a</v>
      </c>
    </row>
    <row r="619" spans="1:5" x14ac:dyDescent="0.2">
      <c r="A619">
        <v>618</v>
      </c>
      <c r="B619" s="1">
        <v>6830.5787451984634</v>
      </c>
      <c r="C619" s="1">
        <v>505.56722151088348</v>
      </c>
      <c r="D619">
        <f>ROUND(store_performance[[#This Row],[AverageSales]]/store_performance[[#This Row],[AverageCustomers]],2)</f>
        <v>13.51</v>
      </c>
      <c r="E619" t="str">
        <f>_xlfn.XLOOKUP(store_performance[[#This Row],[Store]],store_clean[Store],store_clean[StoreType],"Not Found")</f>
        <v>d</v>
      </c>
    </row>
    <row r="620" spans="1:5" x14ac:dyDescent="0.2">
      <c r="A620">
        <v>619</v>
      </c>
      <c r="B620" s="1">
        <v>4303.6028938906757</v>
      </c>
      <c r="C620" s="1">
        <v>428.88263665594855</v>
      </c>
      <c r="D620">
        <f>ROUND(store_performance[[#This Row],[AverageSales]]/store_performance[[#This Row],[AverageCustomers]],2)</f>
        <v>10.029999999999999</v>
      </c>
      <c r="E620" t="str">
        <f>_xlfn.XLOOKUP(store_performance[[#This Row],[Store]],store_clean[Store],store_clean[StoreType],"Not Found")</f>
        <v>a</v>
      </c>
    </row>
    <row r="621" spans="1:5" x14ac:dyDescent="0.2">
      <c r="A621">
        <v>620</v>
      </c>
      <c r="B621" s="1">
        <v>7773.7668810289388</v>
      </c>
      <c r="C621" s="1">
        <v>709.35852090032154</v>
      </c>
      <c r="D621">
        <f>ROUND(store_performance[[#This Row],[AverageSales]]/store_performance[[#This Row],[AverageCustomers]],2)</f>
        <v>10.96</v>
      </c>
      <c r="E621" t="str">
        <f>_xlfn.XLOOKUP(store_performance[[#This Row],[Store]],store_clean[Store],store_clean[StoreType],"Not Found")</f>
        <v>d</v>
      </c>
    </row>
    <row r="622" spans="1:5" x14ac:dyDescent="0.2">
      <c r="A622">
        <v>621</v>
      </c>
      <c r="B622" s="1">
        <v>5916.2246469833117</v>
      </c>
      <c r="C622" s="1">
        <v>806.49679075738129</v>
      </c>
      <c r="D622">
        <f>ROUND(store_performance[[#This Row],[AverageSales]]/store_performance[[#This Row],[AverageCustomers]],2)</f>
        <v>7.34</v>
      </c>
      <c r="E622" t="str">
        <f>_xlfn.XLOOKUP(store_performance[[#This Row],[Store]],store_clean[Store],store_clean[StoreType],"Not Found")</f>
        <v>a</v>
      </c>
    </row>
    <row r="623" spans="1:5" x14ac:dyDescent="0.2">
      <c r="A623">
        <v>622</v>
      </c>
      <c r="B623" s="1">
        <v>4317.9617346938776</v>
      </c>
      <c r="C623" s="1">
        <v>430</v>
      </c>
      <c r="D623">
        <f>ROUND(store_performance[[#This Row],[AverageSales]]/store_performance[[#This Row],[AverageCustomers]],2)</f>
        <v>10.039999999999999</v>
      </c>
      <c r="E623" t="str">
        <f>_xlfn.XLOOKUP(store_performance[[#This Row],[Store]],store_clean[Store],store_clean[StoreType],"Not Found")</f>
        <v>a</v>
      </c>
    </row>
    <row r="624" spans="1:5" x14ac:dyDescent="0.2">
      <c r="A624">
        <v>623</v>
      </c>
      <c r="B624" s="1">
        <v>7127.467447916667</v>
      </c>
      <c r="C624" s="1">
        <v>832.20963541666663</v>
      </c>
      <c r="D624">
        <f>ROUND(store_performance[[#This Row],[AverageSales]]/store_performance[[#This Row],[AverageCustomers]],2)</f>
        <v>8.56</v>
      </c>
      <c r="E624" t="str">
        <f>_xlfn.XLOOKUP(store_performance[[#This Row],[Store]],store_clean[Store],store_clean[StoreType],"Not Found")</f>
        <v>a</v>
      </c>
    </row>
    <row r="625" spans="1:5" x14ac:dyDescent="0.2">
      <c r="A625">
        <v>624</v>
      </c>
      <c r="B625" s="1">
        <v>7019.0667522464701</v>
      </c>
      <c r="C625" s="1">
        <v>682.88318356867774</v>
      </c>
      <c r="D625">
        <f>ROUND(store_performance[[#This Row],[AverageSales]]/store_performance[[#This Row],[AverageCustomers]],2)</f>
        <v>10.28</v>
      </c>
      <c r="E625" t="str">
        <f>_xlfn.XLOOKUP(store_performance[[#This Row],[Store]],store_clean[Store],store_clean[StoreType],"Not Found")</f>
        <v>a</v>
      </c>
    </row>
    <row r="626" spans="1:5" x14ac:dyDescent="0.2">
      <c r="A626">
        <v>625</v>
      </c>
      <c r="B626" s="1">
        <v>6300.1951219512193</v>
      </c>
      <c r="C626" s="1">
        <v>616.85365853658539</v>
      </c>
      <c r="D626">
        <f>ROUND(store_performance[[#This Row],[AverageSales]]/store_performance[[#This Row],[AverageCustomers]],2)</f>
        <v>10.210000000000001</v>
      </c>
      <c r="E626" t="str">
        <f>_xlfn.XLOOKUP(store_performance[[#This Row],[Store]],store_clean[Store],store_clean[StoreType],"Not Found")</f>
        <v>a</v>
      </c>
    </row>
    <row r="627" spans="1:5" x14ac:dyDescent="0.2">
      <c r="A627">
        <v>626</v>
      </c>
      <c r="B627" s="1">
        <v>9382.5294871794868</v>
      </c>
      <c r="C627" s="1">
        <v>829.62435897435898</v>
      </c>
      <c r="D627">
        <f>ROUND(store_performance[[#This Row],[AverageSales]]/store_performance[[#This Row],[AverageCustomers]],2)</f>
        <v>11.31</v>
      </c>
      <c r="E627" t="str">
        <f>_xlfn.XLOOKUP(store_performance[[#This Row],[Store]],store_clean[Store],store_clean[StoreType],"Not Found")</f>
        <v>c</v>
      </c>
    </row>
    <row r="628" spans="1:5" x14ac:dyDescent="0.2">
      <c r="A628">
        <v>627</v>
      </c>
      <c r="B628" s="1">
        <v>5991.2522407170291</v>
      </c>
      <c r="C628" s="1">
        <v>615.61715749039695</v>
      </c>
      <c r="D628">
        <f>ROUND(store_performance[[#This Row],[AverageSales]]/store_performance[[#This Row],[AverageCustomers]],2)</f>
        <v>9.73</v>
      </c>
      <c r="E628" t="str">
        <f>_xlfn.XLOOKUP(store_performance[[#This Row],[Store]],store_clean[Store],store_clean[StoreType],"Not Found")</f>
        <v>c</v>
      </c>
    </row>
    <row r="629" spans="1:5" x14ac:dyDescent="0.2">
      <c r="A629">
        <v>628</v>
      </c>
      <c r="B629" s="1">
        <v>6231.0829081632655</v>
      </c>
      <c r="C629" s="1">
        <v>762.9387755102041</v>
      </c>
      <c r="D629">
        <f>ROUND(store_performance[[#This Row],[AverageSales]]/store_performance[[#This Row],[AverageCustomers]],2)</f>
        <v>8.17</v>
      </c>
      <c r="E629" t="str">
        <f>_xlfn.XLOOKUP(store_performance[[#This Row],[Store]],store_clean[Store],store_clean[StoreType],"Not Found")</f>
        <v>a</v>
      </c>
    </row>
    <row r="630" spans="1:5" x14ac:dyDescent="0.2">
      <c r="A630">
        <v>629</v>
      </c>
      <c r="B630" s="1">
        <v>7652.7395498392279</v>
      </c>
      <c r="C630" s="1">
        <v>678.63826366559488</v>
      </c>
      <c r="D630">
        <f>ROUND(store_performance[[#This Row],[AverageSales]]/store_performance[[#This Row],[AverageCustomers]],2)</f>
        <v>11.28</v>
      </c>
      <c r="E630" t="str">
        <f>_xlfn.XLOOKUP(store_performance[[#This Row],[Store]],store_clean[Store],store_clean[StoreType],"Not Found")</f>
        <v>d</v>
      </c>
    </row>
    <row r="631" spans="1:5" x14ac:dyDescent="0.2">
      <c r="A631">
        <v>630</v>
      </c>
      <c r="B631" s="1">
        <v>6935.8523748395382</v>
      </c>
      <c r="C631" s="1">
        <v>793.57637997432607</v>
      </c>
      <c r="D631">
        <f>ROUND(store_performance[[#This Row],[AverageSales]]/store_performance[[#This Row],[AverageCustomers]],2)</f>
        <v>8.74</v>
      </c>
      <c r="E631" t="str">
        <f>_xlfn.XLOOKUP(store_performance[[#This Row],[Store]],store_clean[Store],store_clean[StoreType],"Not Found")</f>
        <v>a</v>
      </c>
    </row>
    <row r="632" spans="1:5" x14ac:dyDescent="0.2">
      <c r="A632">
        <v>631</v>
      </c>
      <c r="B632" s="1">
        <v>5400.3073979591836</v>
      </c>
      <c r="C632" s="1">
        <v>638.44132653061229</v>
      </c>
      <c r="D632">
        <f>ROUND(store_performance[[#This Row],[AverageSales]]/store_performance[[#This Row],[AverageCustomers]],2)</f>
        <v>8.4600000000000009</v>
      </c>
      <c r="E632" t="str">
        <f>_xlfn.XLOOKUP(store_performance[[#This Row],[Store]],store_clean[Store],store_clean[StoreType],"Not Found")</f>
        <v>d</v>
      </c>
    </row>
    <row r="633" spans="1:5" x14ac:dyDescent="0.2">
      <c r="A633">
        <v>632</v>
      </c>
      <c r="B633" s="1">
        <v>7028.7742346938776</v>
      </c>
      <c r="C633" s="1">
        <v>903.61352040816325</v>
      </c>
      <c r="D633">
        <f>ROUND(store_performance[[#This Row],[AverageSales]]/store_performance[[#This Row],[AverageCustomers]],2)</f>
        <v>7.78</v>
      </c>
      <c r="E633" t="str">
        <f>_xlfn.XLOOKUP(store_performance[[#This Row],[Store]],store_clean[Store],store_clean[StoreType],"Not Found")</f>
        <v>a</v>
      </c>
    </row>
    <row r="634" spans="1:5" x14ac:dyDescent="0.2">
      <c r="A634">
        <v>633</v>
      </c>
      <c r="B634" s="1">
        <v>7207.2170418006435</v>
      </c>
      <c r="C634" s="1">
        <v>549.77974276527334</v>
      </c>
      <c r="D634">
        <f>ROUND(store_performance[[#This Row],[AverageSales]]/store_performance[[#This Row],[AverageCustomers]],2)</f>
        <v>13.11</v>
      </c>
      <c r="E634" t="str">
        <f>_xlfn.XLOOKUP(store_performance[[#This Row],[Store]],store_clean[Store],store_clean[StoreType],"Not Found")</f>
        <v>d</v>
      </c>
    </row>
    <row r="635" spans="1:5" x14ac:dyDescent="0.2">
      <c r="A635">
        <v>634</v>
      </c>
      <c r="B635" s="1">
        <v>6713.2897435897439</v>
      </c>
      <c r="C635" s="1">
        <v>651.20256410256411</v>
      </c>
      <c r="D635">
        <f>ROUND(store_performance[[#This Row],[AverageSales]]/store_performance[[#This Row],[AverageCustomers]],2)</f>
        <v>10.31</v>
      </c>
      <c r="E635" t="str">
        <f>_xlfn.XLOOKUP(store_performance[[#This Row],[Store]],store_clean[Store],store_clean[StoreType],"Not Found")</f>
        <v>d</v>
      </c>
    </row>
    <row r="636" spans="1:5" x14ac:dyDescent="0.2">
      <c r="A636">
        <v>635</v>
      </c>
      <c r="B636" s="1">
        <v>5909.2448717948719</v>
      </c>
      <c r="C636" s="1">
        <v>596.7166666666667</v>
      </c>
      <c r="D636">
        <f>ROUND(store_performance[[#This Row],[AverageSales]]/store_performance[[#This Row],[AverageCustomers]],2)</f>
        <v>9.9</v>
      </c>
      <c r="E636" t="str">
        <f>_xlfn.XLOOKUP(store_performance[[#This Row],[Store]],store_clean[Store],store_clean[StoreType],"Not Found")</f>
        <v>a</v>
      </c>
    </row>
    <row r="637" spans="1:5" x14ac:dyDescent="0.2">
      <c r="A637">
        <v>636</v>
      </c>
      <c r="B637" s="1">
        <v>5927.6998394863567</v>
      </c>
      <c r="C637" s="1">
        <v>714.82182985553777</v>
      </c>
      <c r="D637">
        <f>ROUND(store_performance[[#This Row],[AverageSales]]/store_performance[[#This Row],[AverageCustomers]],2)</f>
        <v>8.2899999999999991</v>
      </c>
      <c r="E637" t="str">
        <f>_xlfn.XLOOKUP(store_performance[[#This Row],[Store]],store_clean[Store],store_clean[StoreType],"Not Found")</f>
        <v>c</v>
      </c>
    </row>
    <row r="638" spans="1:5" x14ac:dyDescent="0.2">
      <c r="A638">
        <v>637</v>
      </c>
      <c r="B638" s="1">
        <v>8707.2636655948554</v>
      </c>
      <c r="C638" s="1">
        <v>693.06430868167206</v>
      </c>
      <c r="D638">
        <f>ROUND(store_performance[[#This Row],[AverageSales]]/store_performance[[#This Row],[AverageCustomers]],2)</f>
        <v>12.56</v>
      </c>
      <c r="E638" t="str">
        <f>_xlfn.XLOOKUP(store_performance[[#This Row],[Store]],store_clean[Store],store_clean[StoreType],"Not Found")</f>
        <v>d</v>
      </c>
    </row>
    <row r="639" spans="1:5" x14ac:dyDescent="0.2">
      <c r="A639">
        <v>638</v>
      </c>
      <c r="B639" s="1">
        <v>6009.6051779935278</v>
      </c>
      <c r="C639" s="1">
        <v>507.71359223300971</v>
      </c>
      <c r="D639">
        <f>ROUND(store_performance[[#This Row],[AverageSales]]/store_performance[[#This Row],[AverageCustomers]],2)</f>
        <v>11.84</v>
      </c>
      <c r="E639" t="str">
        <f>_xlfn.XLOOKUP(store_performance[[#This Row],[Store]],store_clean[Store],store_clean[StoreType],"Not Found")</f>
        <v>d</v>
      </c>
    </row>
    <row r="640" spans="1:5" x14ac:dyDescent="0.2">
      <c r="A640">
        <v>639</v>
      </c>
      <c r="B640" s="1">
        <v>4734.6970474967911</v>
      </c>
      <c r="C640" s="1">
        <v>485.98331193838254</v>
      </c>
      <c r="D640">
        <f>ROUND(store_performance[[#This Row],[AverageSales]]/store_performance[[#This Row],[AverageCustomers]],2)</f>
        <v>9.74</v>
      </c>
      <c r="E640" t="str">
        <f>_xlfn.XLOOKUP(store_performance[[#This Row],[Store]],store_clean[Store],store_clean[StoreType],"Not Found")</f>
        <v>a</v>
      </c>
    </row>
    <row r="641" spans="1:5" x14ac:dyDescent="0.2">
      <c r="A641">
        <v>640</v>
      </c>
      <c r="B641" s="1">
        <v>11533.978177150193</v>
      </c>
      <c r="C641" s="1">
        <v>879.50834403080876</v>
      </c>
      <c r="D641">
        <f>ROUND(store_performance[[#This Row],[AverageSales]]/store_performance[[#This Row],[AverageCustomers]],2)</f>
        <v>13.11</v>
      </c>
      <c r="E641" t="str">
        <f>_xlfn.XLOOKUP(store_performance[[#This Row],[Store]],store_clean[Store],store_clean[StoreType],"Not Found")</f>
        <v>d</v>
      </c>
    </row>
    <row r="642" spans="1:5" x14ac:dyDescent="0.2">
      <c r="A642">
        <v>641</v>
      </c>
      <c r="B642" s="1">
        <v>5764.2952503209244</v>
      </c>
      <c r="C642" s="1">
        <v>538.06418485237486</v>
      </c>
      <c r="D642">
        <f>ROUND(store_performance[[#This Row],[AverageSales]]/store_performance[[#This Row],[AverageCustomers]],2)</f>
        <v>10.71</v>
      </c>
      <c r="E642" t="str">
        <f>_xlfn.XLOOKUP(store_performance[[#This Row],[Store]],store_clean[Store],store_clean[StoreType],"Not Found")</f>
        <v>a</v>
      </c>
    </row>
    <row r="643" spans="1:5" x14ac:dyDescent="0.2">
      <c r="A643">
        <v>642</v>
      </c>
      <c r="B643" s="1">
        <v>3652.7098844672655</v>
      </c>
      <c r="C643" s="1">
        <v>479.88189987163031</v>
      </c>
      <c r="D643">
        <f>ROUND(store_performance[[#This Row],[AverageSales]]/store_performance[[#This Row],[AverageCustomers]],2)</f>
        <v>7.61</v>
      </c>
      <c r="E643" t="str">
        <f>_xlfn.XLOOKUP(store_performance[[#This Row],[Store]],store_clean[Store],store_clean[StoreType],"Not Found")</f>
        <v>c</v>
      </c>
    </row>
    <row r="644" spans="1:5" x14ac:dyDescent="0.2">
      <c r="A644">
        <v>643</v>
      </c>
      <c r="B644" s="1">
        <v>7994.4311224489793</v>
      </c>
      <c r="C644" s="1">
        <v>1020.2436224489796</v>
      </c>
      <c r="D644">
        <f>ROUND(store_performance[[#This Row],[AverageSales]]/store_performance[[#This Row],[AverageCustomers]],2)</f>
        <v>7.84</v>
      </c>
      <c r="E644" t="str">
        <f>_xlfn.XLOOKUP(store_performance[[#This Row],[Store]],store_clean[Store],store_clean[StoreType],"Not Found")</f>
        <v>a</v>
      </c>
    </row>
    <row r="645" spans="1:5" x14ac:dyDescent="0.2">
      <c r="A645">
        <v>644</v>
      </c>
      <c r="B645" s="1">
        <v>9353.0574324324316</v>
      </c>
      <c r="C645" s="1">
        <v>1029.5135135135135</v>
      </c>
      <c r="D645">
        <f>ROUND(store_performance[[#This Row],[AverageSales]]/store_performance[[#This Row],[AverageCustomers]],2)</f>
        <v>9.08</v>
      </c>
      <c r="E645" t="str">
        <f>_xlfn.XLOOKUP(store_performance[[#This Row],[Store]],store_clean[Store],store_clean[StoreType],"Not Found")</f>
        <v>c</v>
      </c>
    </row>
    <row r="646" spans="1:5" x14ac:dyDescent="0.2">
      <c r="A646">
        <v>645</v>
      </c>
      <c r="B646" s="1">
        <v>10730.2574002574</v>
      </c>
      <c r="C646" s="1">
        <v>1327.2921492921494</v>
      </c>
      <c r="D646">
        <f>ROUND(store_performance[[#This Row],[AverageSales]]/store_performance[[#This Row],[AverageCustomers]],2)</f>
        <v>8.08</v>
      </c>
      <c r="E646" t="str">
        <f>_xlfn.XLOOKUP(store_performance[[#This Row],[Store]],store_clean[Store],store_clean[StoreType],"Not Found")</f>
        <v>a</v>
      </c>
    </row>
    <row r="647" spans="1:5" x14ac:dyDescent="0.2">
      <c r="A647">
        <v>646</v>
      </c>
      <c r="B647" s="1">
        <v>5025.9260450160773</v>
      </c>
      <c r="C647" s="1">
        <v>706.40836012861735</v>
      </c>
      <c r="D647">
        <f>ROUND(store_performance[[#This Row],[AverageSales]]/store_performance[[#This Row],[AverageCustomers]],2)</f>
        <v>7.11</v>
      </c>
      <c r="E647" t="str">
        <f>_xlfn.XLOOKUP(store_performance[[#This Row],[Store]],store_clean[Store],store_clean[StoreType],"Not Found")</f>
        <v>a</v>
      </c>
    </row>
    <row r="648" spans="1:5" x14ac:dyDescent="0.2">
      <c r="A648">
        <v>647</v>
      </c>
      <c r="B648" s="1">
        <v>5774.5752551020405</v>
      </c>
      <c r="C648" s="1">
        <v>677.49107142857144</v>
      </c>
      <c r="D648">
        <f>ROUND(store_performance[[#This Row],[AverageSales]]/store_performance[[#This Row],[AverageCustomers]],2)</f>
        <v>8.52</v>
      </c>
      <c r="E648" t="str">
        <f>_xlfn.XLOOKUP(store_performance[[#This Row],[Store]],store_clean[Store],store_clean[StoreType],"Not Found")</f>
        <v>a</v>
      </c>
    </row>
    <row r="649" spans="1:5" x14ac:dyDescent="0.2">
      <c r="A649">
        <v>648</v>
      </c>
      <c r="B649" s="1">
        <v>6573.9961734693879</v>
      </c>
      <c r="C649" s="1">
        <v>609.82142857142856</v>
      </c>
      <c r="D649">
        <f>ROUND(store_performance[[#This Row],[AverageSales]]/store_performance[[#This Row],[AverageCustomers]],2)</f>
        <v>10.78</v>
      </c>
      <c r="E649" t="str">
        <f>_xlfn.XLOOKUP(store_performance[[#This Row],[Store]],store_clean[Store],store_clean[StoreType],"Not Found")</f>
        <v>d</v>
      </c>
    </row>
    <row r="650" spans="1:5" x14ac:dyDescent="0.2">
      <c r="A650">
        <v>649</v>
      </c>
      <c r="B650" s="1">
        <v>3683.7923076923075</v>
      </c>
      <c r="C650" s="1">
        <v>386.67820512820515</v>
      </c>
      <c r="D650">
        <f>ROUND(store_performance[[#This Row],[AverageSales]]/store_performance[[#This Row],[AverageCustomers]],2)</f>
        <v>9.5299999999999994</v>
      </c>
      <c r="E650" t="str">
        <f>_xlfn.XLOOKUP(store_performance[[#This Row],[Store]],store_clean[Store],store_clean[StoreType],"Not Found")</f>
        <v>a</v>
      </c>
    </row>
    <row r="651" spans="1:5" x14ac:dyDescent="0.2">
      <c r="A651">
        <v>650</v>
      </c>
      <c r="B651" s="1">
        <v>6391.0080385852089</v>
      </c>
      <c r="C651" s="1">
        <v>663.82475884244377</v>
      </c>
      <c r="D651">
        <f>ROUND(store_performance[[#This Row],[AverageSales]]/store_performance[[#This Row],[AverageCustomers]],2)</f>
        <v>9.6300000000000008</v>
      </c>
      <c r="E651" t="str">
        <f>_xlfn.XLOOKUP(store_performance[[#This Row],[Store]],store_clean[Store],store_clean[StoreType],"Not Found")</f>
        <v>a</v>
      </c>
    </row>
    <row r="652" spans="1:5" x14ac:dyDescent="0.2">
      <c r="A652">
        <v>651</v>
      </c>
      <c r="B652" s="1">
        <v>7615.8652118100126</v>
      </c>
      <c r="C652" s="1">
        <v>948.41976893453148</v>
      </c>
      <c r="D652">
        <f>ROUND(store_performance[[#This Row],[AverageSales]]/store_performance[[#This Row],[AverageCustomers]],2)</f>
        <v>8.0299999999999994</v>
      </c>
      <c r="E652" t="str">
        <f>_xlfn.XLOOKUP(store_performance[[#This Row],[Store]],store_clean[Store],store_clean[StoreType],"Not Found")</f>
        <v>a</v>
      </c>
    </row>
    <row r="653" spans="1:5" x14ac:dyDescent="0.2">
      <c r="A653">
        <v>652</v>
      </c>
      <c r="B653" s="1">
        <v>6637.6329923273661</v>
      </c>
      <c r="C653" s="1">
        <v>681.01534526854221</v>
      </c>
      <c r="D653">
        <f>ROUND(store_performance[[#This Row],[AverageSales]]/store_performance[[#This Row],[AverageCustomers]],2)</f>
        <v>9.75</v>
      </c>
      <c r="E653" t="str">
        <f>_xlfn.XLOOKUP(store_performance[[#This Row],[Store]],store_clean[Store],store_clean[StoreType],"Not Found")</f>
        <v>a</v>
      </c>
    </row>
    <row r="654" spans="1:5" x14ac:dyDescent="0.2">
      <c r="A654">
        <v>653</v>
      </c>
      <c r="B654" s="1">
        <v>5915.5044929396663</v>
      </c>
      <c r="C654" s="1">
        <v>500.17971758664953</v>
      </c>
      <c r="D654">
        <f>ROUND(store_performance[[#This Row],[AverageSales]]/store_performance[[#This Row],[AverageCustomers]],2)</f>
        <v>11.83</v>
      </c>
      <c r="E654" t="str">
        <f>_xlfn.XLOOKUP(store_performance[[#This Row],[Store]],store_clean[Store],store_clean[StoreType],"Not Found")</f>
        <v>d</v>
      </c>
    </row>
    <row r="655" spans="1:5" x14ac:dyDescent="0.2">
      <c r="A655">
        <v>654</v>
      </c>
      <c r="B655" s="1">
        <v>6475.1525641025637</v>
      </c>
      <c r="C655" s="1">
        <v>684.18333333333328</v>
      </c>
      <c r="D655">
        <f>ROUND(store_performance[[#This Row],[AverageSales]]/store_performance[[#This Row],[AverageCustomers]],2)</f>
        <v>9.4600000000000009</v>
      </c>
      <c r="E655" t="str">
        <f>_xlfn.XLOOKUP(store_performance[[#This Row],[Store]],store_clean[Store],store_clean[StoreType],"Not Found")</f>
        <v>c</v>
      </c>
    </row>
    <row r="656" spans="1:5" x14ac:dyDescent="0.2">
      <c r="A656">
        <v>655</v>
      </c>
      <c r="B656" s="1">
        <v>8031.7111681643137</v>
      </c>
      <c r="C656" s="1">
        <v>687.44672657252886</v>
      </c>
      <c r="D656">
        <f>ROUND(store_performance[[#This Row],[AverageSales]]/store_performance[[#This Row],[AverageCustomers]],2)</f>
        <v>11.68</v>
      </c>
      <c r="E656" t="str">
        <f>_xlfn.XLOOKUP(store_performance[[#This Row],[Store]],store_clean[Store],store_clean[StoreType],"Not Found")</f>
        <v>d</v>
      </c>
    </row>
    <row r="657" spans="1:5" x14ac:dyDescent="0.2">
      <c r="A657">
        <v>656</v>
      </c>
      <c r="B657" s="1">
        <v>3245.192061459667</v>
      </c>
      <c r="C657" s="1">
        <v>379.16645326504482</v>
      </c>
      <c r="D657">
        <f>ROUND(store_performance[[#This Row],[AverageSales]]/store_performance[[#This Row],[AverageCustomers]],2)</f>
        <v>8.56</v>
      </c>
      <c r="E657" t="str">
        <f>_xlfn.XLOOKUP(store_performance[[#This Row],[Store]],store_clean[Store],store_clean[StoreType],"Not Found")</f>
        <v>d</v>
      </c>
    </row>
    <row r="658" spans="1:5" x14ac:dyDescent="0.2">
      <c r="A658">
        <v>657</v>
      </c>
      <c r="B658" s="1">
        <v>6054.7152061855668</v>
      </c>
      <c r="C658" s="1">
        <v>766.15463917525778</v>
      </c>
      <c r="D658">
        <f>ROUND(store_performance[[#This Row],[AverageSales]]/store_performance[[#This Row],[AverageCustomers]],2)</f>
        <v>7.9</v>
      </c>
      <c r="E658" t="str">
        <f>_xlfn.XLOOKUP(store_performance[[#This Row],[Store]],store_clean[Store],store_clean[StoreType],"Not Found")</f>
        <v>c</v>
      </c>
    </row>
    <row r="659" spans="1:5" x14ac:dyDescent="0.2">
      <c r="A659">
        <v>658</v>
      </c>
      <c r="B659" s="1">
        <v>6058.8305519897303</v>
      </c>
      <c r="C659" s="1">
        <v>598.62644415917839</v>
      </c>
      <c r="D659">
        <f>ROUND(store_performance[[#This Row],[AverageSales]]/store_performance[[#This Row],[AverageCustomers]],2)</f>
        <v>10.119999999999999</v>
      </c>
      <c r="E659" t="str">
        <f>_xlfn.XLOOKUP(store_performance[[#This Row],[Store]],store_clean[Store],store_clean[StoreType],"Not Found")</f>
        <v>d</v>
      </c>
    </row>
    <row r="660" spans="1:5" x14ac:dyDescent="0.2">
      <c r="A660">
        <v>659</v>
      </c>
      <c r="B660" s="1">
        <v>5643.9667093469907</v>
      </c>
      <c r="C660" s="1">
        <v>685.07170294494233</v>
      </c>
      <c r="D660">
        <f>ROUND(store_performance[[#This Row],[AverageSales]]/store_performance[[#This Row],[AverageCustomers]],2)</f>
        <v>8.24</v>
      </c>
      <c r="E660" t="str">
        <f>_xlfn.XLOOKUP(store_performance[[#This Row],[Store]],store_clean[Store],store_clean[StoreType],"Not Found")</f>
        <v>d</v>
      </c>
    </row>
    <row r="661" spans="1:5" x14ac:dyDescent="0.2">
      <c r="A661">
        <v>660</v>
      </c>
      <c r="B661" s="1">
        <v>4616.5996784565914</v>
      </c>
      <c r="C661" s="1">
        <v>497.46945337620576</v>
      </c>
      <c r="D661">
        <f>ROUND(store_performance[[#This Row],[AverageSales]]/store_performance[[#This Row],[AverageCustomers]],2)</f>
        <v>9.2799999999999994</v>
      </c>
      <c r="E661" t="str">
        <f>_xlfn.XLOOKUP(store_performance[[#This Row],[Store]],store_clean[Store],store_clean[StoreType],"Not Found")</f>
        <v>a</v>
      </c>
    </row>
    <row r="662" spans="1:5" x14ac:dyDescent="0.2">
      <c r="A662">
        <v>661</v>
      </c>
      <c r="B662" s="1">
        <v>7157.2210663198957</v>
      </c>
      <c r="C662" s="1">
        <v>589.0884265279584</v>
      </c>
      <c r="D662">
        <f>ROUND(store_performance[[#This Row],[AverageSales]]/store_performance[[#This Row],[AverageCustomers]],2)</f>
        <v>12.15</v>
      </c>
      <c r="E662" t="str">
        <f>_xlfn.XLOOKUP(store_performance[[#This Row],[Store]],store_clean[Store],store_clean[StoreType],"Not Found")</f>
        <v>d</v>
      </c>
    </row>
    <row r="663" spans="1:5" x14ac:dyDescent="0.2">
      <c r="A663">
        <v>662</v>
      </c>
      <c r="B663" s="1">
        <v>8439.5242346938776</v>
      </c>
      <c r="C663" s="1">
        <v>771.34566326530614</v>
      </c>
      <c r="D663">
        <f>ROUND(store_performance[[#This Row],[AverageSales]]/store_performance[[#This Row],[AverageCustomers]],2)</f>
        <v>10.94</v>
      </c>
      <c r="E663" t="str">
        <f>_xlfn.XLOOKUP(store_performance[[#This Row],[Store]],store_clean[Store],store_clean[StoreType],"Not Found")</f>
        <v>d</v>
      </c>
    </row>
    <row r="664" spans="1:5" x14ac:dyDescent="0.2">
      <c r="A664">
        <v>663</v>
      </c>
      <c r="B664" s="1">
        <v>4786.2258916776755</v>
      </c>
      <c r="C664" s="1">
        <v>652.92602377807134</v>
      </c>
      <c r="D664">
        <f>ROUND(store_performance[[#This Row],[AverageSales]]/store_performance[[#This Row],[AverageCustomers]],2)</f>
        <v>7.33</v>
      </c>
      <c r="E664" t="str">
        <f>_xlfn.XLOOKUP(store_performance[[#This Row],[Store]],store_clean[Store],store_clean[StoreType],"Not Found")</f>
        <v>a</v>
      </c>
    </row>
    <row r="665" spans="1:5" x14ac:dyDescent="0.2">
      <c r="A665">
        <v>664</v>
      </c>
      <c r="B665" s="1">
        <v>4946.3564102564105</v>
      </c>
      <c r="C665" s="1">
        <v>602.40897435897432</v>
      </c>
      <c r="D665">
        <f>ROUND(store_performance[[#This Row],[AverageSales]]/store_performance[[#This Row],[AverageCustomers]],2)</f>
        <v>8.2100000000000009</v>
      </c>
      <c r="E665" t="str">
        <f>_xlfn.XLOOKUP(store_performance[[#This Row],[Store]],store_clean[Store],store_clean[StoreType],"Not Found")</f>
        <v>d</v>
      </c>
    </row>
    <row r="666" spans="1:5" x14ac:dyDescent="0.2">
      <c r="A666">
        <v>665</v>
      </c>
      <c r="B666" s="1">
        <v>8207.2529032258062</v>
      </c>
      <c r="C666" s="1">
        <v>1259.1896774193549</v>
      </c>
      <c r="D666">
        <f>ROUND(store_performance[[#This Row],[AverageSales]]/store_performance[[#This Row],[AverageCustomers]],2)</f>
        <v>6.52</v>
      </c>
      <c r="E666" t="str">
        <f>_xlfn.XLOOKUP(store_performance[[#This Row],[Store]],store_clean[Store],store_clean[StoreType],"Not Found")</f>
        <v>a</v>
      </c>
    </row>
    <row r="667" spans="1:5" x14ac:dyDescent="0.2">
      <c r="A667">
        <v>666</v>
      </c>
      <c r="B667" s="1">
        <v>7016.6100386100388</v>
      </c>
      <c r="C667" s="1">
        <v>654.83783783783781</v>
      </c>
      <c r="D667">
        <f>ROUND(store_performance[[#This Row],[AverageSales]]/store_performance[[#This Row],[AverageCustomers]],2)</f>
        <v>10.72</v>
      </c>
      <c r="E667" t="str">
        <f>_xlfn.XLOOKUP(store_performance[[#This Row],[Store]],store_clean[Store],store_clean[StoreType],"Not Found")</f>
        <v>c</v>
      </c>
    </row>
    <row r="668" spans="1:5" x14ac:dyDescent="0.2">
      <c r="A668">
        <v>667</v>
      </c>
      <c r="B668" s="1">
        <v>8786.5019157088118</v>
      </c>
      <c r="C668" s="1">
        <v>793.330779054917</v>
      </c>
      <c r="D668">
        <f>ROUND(store_performance[[#This Row],[AverageSales]]/store_performance[[#This Row],[AverageCustomers]],2)</f>
        <v>11.08</v>
      </c>
      <c r="E668" t="str">
        <f>_xlfn.XLOOKUP(store_performance[[#This Row],[Store]],store_clean[Store],store_clean[StoreType],"Not Found")</f>
        <v>d</v>
      </c>
    </row>
    <row r="669" spans="1:5" x14ac:dyDescent="0.2">
      <c r="A669">
        <v>668</v>
      </c>
      <c r="B669" s="1">
        <v>8940.8533163265311</v>
      </c>
      <c r="C669" s="1">
        <v>1156.7295918367347</v>
      </c>
      <c r="D669">
        <f>ROUND(store_performance[[#This Row],[AverageSales]]/store_performance[[#This Row],[AverageCustomers]],2)</f>
        <v>7.73</v>
      </c>
      <c r="E669" t="str">
        <f>_xlfn.XLOOKUP(store_performance[[#This Row],[Store]],store_clean[Store],store_clean[StoreType],"Not Found")</f>
        <v>c</v>
      </c>
    </row>
    <row r="670" spans="1:5" x14ac:dyDescent="0.2">
      <c r="A670">
        <v>669</v>
      </c>
      <c r="B670" s="1">
        <v>4514.2347266881025</v>
      </c>
      <c r="C670" s="1">
        <v>393.92122186495175</v>
      </c>
      <c r="D670">
        <f>ROUND(store_performance[[#This Row],[AverageSales]]/store_performance[[#This Row],[AverageCustomers]],2)</f>
        <v>11.46</v>
      </c>
      <c r="E670" t="str">
        <f>_xlfn.XLOOKUP(store_performance[[#This Row],[Store]],store_clean[Store],store_clean[StoreType],"Not Found")</f>
        <v>d</v>
      </c>
    </row>
    <row r="671" spans="1:5" x14ac:dyDescent="0.2">
      <c r="A671">
        <v>670</v>
      </c>
      <c r="B671" s="1">
        <v>6589.9484702093396</v>
      </c>
      <c r="C671" s="1">
        <v>700.59581320450889</v>
      </c>
      <c r="D671">
        <f>ROUND(store_performance[[#This Row],[AverageSales]]/store_performance[[#This Row],[AverageCustomers]],2)</f>
        <v>9.41</v>
      </c>
      <c r="E671" t="str">
        <f>_xlfn.XLOOKUP(store_performance[[#This Row],[Store]],store_clean[Store],store_clean[StoreType],"Not Found")</f>
        <v>a</v>
      </c>
    </row>
    <row r="672" spans="1:5" x14ac:dyDescent="0.2">
      <c r="A672">
        <v>671</v>
      </c>
      <c r="B672" s="1">
        <v>5935.5</v>
      </c>
      <c r="C672" s="1">
        <v>593.85691318327974</v>
      </c>
      <c r="D672">
        <f>ROUND(store_performance[[#This Row],[AverageSales]]/store_performance[[#This Row],[AverageCustomers]],2)</f>
        <v>9.99</v>
      </c>
      <c r="E672" t="str">
        <f>_xlfn.XLOOKUP(store_performance[[#This Row],[Store]],store_clean[Store],store_clean[StoreType],"Not Found")</f>
        <v>a</v>
      </c>
    </row>
    <row r="673" spans="1:5" x14ac:dyDescent="0.2">
      <c r="A673">
        <v>672</v>
      </c>
      <c r="B673" s="1">
        <v>8837.1051282051285</v>
      </c>
      <c r="C673" s="1">
        <v>1389.2141025641026</v>
      </c>
      <c r="D673">
        <f>ROUND(store_performance[[#This Row],[AverageSales]]/store_performance[[#This Row],[AverageCustomers]],2)</f>
        <v>6.36</v>
      </c>
      <c r="E673" t="str">
        <f>_xlfn.XLOOKUP(store_performance[[#This Row],[Store]],store_clean[Store],store_clean[StoreType],"Not Found")</f>
        <v>c</v>
      </c>
    </row>
    <row r="674" spans="1:5" x14ac:dyDescent="0.2">
      <c r="A674">
        <v>673</v>
      </c>
      <c r="B674" s="1">
        <v>7126.0180180180178</v>
      </c>
      <c r="C674" s="1">
        <v>582.73359073359075</v>
      </c>
      <c r="D674">
        <f>ROUND(store_performance[[#This Row],[AverageSales]]/store_performance[[#This Row],[AverageCustomers]],2)</f>
        <v>12.23</v>
      </c>
      <c r="E674" t="str">
        <f>_xlfn.XLOOKUP(store_performance[[#This Row],[Store]],store_clean[Store],store_clean[StoreType],"Not Found")</f>
        <v>d</v>
      </c>
    </row>
    <row r="675" spans="1:5" x14ac:dyDescent="0.2">
      <c r="A675">
        <v>674</v>
      </c>
      <c r="B675" s="1">
        <v>8193.3498659517427</v>
      </c>
      <c r="C675" s="1">
        <v>1014.1219839142091</v>
      </c>
      <c r="D675">
        <f>ROUND(store_performance[[#This Row],[AverageSales]]/store_performance[[#This Row],[AverageCustomers]],2)</f>
        <v>8.08</v>
      </c>
      <c r="E675" t="str">
        <f>_xlfn.XLOOKUP(store_performance[[#This Row],[Store]],store_clean[Store],store_clean[StoreType],"Not Found")</f>
        <v>a</v>
      </c>
    </row>
    <row r="676" spans="1:5" x14ac:dyDescent="0.2">
      <c r="A676">
        <v>675</v>
      </c>
      <c r="B676" s="1">
        <v>4278.1895006402046</v>
      </c>
      <c r="C676" s="1">
        <v>448.37131882202306</v>
      </c>
      <c r="D676">
        <f>ROUND(store_performance[[#This Row],[AverageSales]]/store_performance[[#This Row],[AverageCustomers]],2)</f>
        <v>9.5399999999999991</v>
      </c>
      <c r="E676" t="str">
        <f>_xlfn.XLOOKUP(store_performance[[#This Row],[Store]],store_clean[Store],store_clean[StoreType],"Not Found")</f>
        <v>a</v>
      </c>
    </row>
    <row r="677" spans="1:5" x14ac:dyDescent="0.2">
      <c r="A677">
        <v>676</v>
      </c>
      <c r="B677" s="1">
        <v>7687.4640522875816</v>
      </c>
      <c r="C677" s="1">
        <v>1687.5936819172114</v>
      </c>
      <c r="D677">
        <f>ROUND(store_performance[[#This Row],[AverageSales]]/store_performance[[#This Row],[AverageCustomers]],2)</f>
        <v>4.5599999999999996</v>
      </c>
      <c r="E677" t="str">
        <f>_xlfn.XLOOKUP(store_performance[[#This Row],[Store]],store_clean[Store],store_clean[StoreType],"Not Found")</f>
        <v>b</v>
      </c>
    </row>
    <row r="678" spans="1:5" x14ac:dyDescent="0.2">
      <c r="A678">
        <v>677</v>
      </c>
      <c r="B678" s="1">
        <v>7938.9823151125402</v>
      </c>
      <c r="C678" s="1">
        <v>637.67363344051444</v>
      </c>
      <c r="D678">
        <f>ROUND(store_performance[[#This Row],[AverageSales]]/store_performance[[#This Row],[AverageCustomers]],2)</f>
        <v>12.45</v>
      </c>
      <c r="E678" t="str">
        <f>_xlfn.XLOOKUP(store_performance[[#This Row],[Store]],store_clean[Store],store_clean[StoreType],"Not Found")</f>
        <v>d</v>
      </c>
    </row>
    <row r="679" spans="1:5" x14ac:dyDescent="0.2">
      <c r="A679">
        <v>678</v>
      </c>
      <c r="B679" s="1">
        <v>7299.9370988446726</v>
      </c>
      <c r="C679" s="1">
        <v>825.31964056482673</v>
      </c>
      <c r="D679">
        <f>ROUND(store_performance[[#This Row],[AverageSales]]/store_performance[[#This Row],[AverageCustomers]],2)</f>
        <v>8.84</v>
      </c>
      <c r="E679" t="str">
        <f>_xlfn.XLOOKUP(store_performance[[#This Row],[Store]],store_clean[Store],store_clean[StoreType],"Not Found")</f>
        <v>c</v>
      </c>
    </row>
    <row r="680" spans="1:5" x14ac:dyDescent="0.2">
      <c r="A680">
        <v>679</v>
      </c>
      <c r="B680" s="1">
        <v>9943.9247448979586</v>
      </c>
      <c r="C680" s="1">
        <v>1061.4183673469388</v>
      </c>
      <c r="D680">
        <f>ROUND(store_performance[[#This Row],[AverageSales]]/store_performance[[#This Row],[AverageCustomers]],2)</f>
        <v>9.3699999999999992</v>
      </c>
      <c r="E680" t="str">
        <f>_xlfn.XLOOKUP(store_performance[[#This Row],[Store]],store_clean[Store],store_clean[StoreType],"Not Found")</f>
        <v>a</v>
      </c>
    </row>
    <row r="681" spans="1:5" x14ac:dyDescent="0.2">
      <c r="A681">
        <v>680</v>
      </c>
      <c r="B681" s="1">
        <v>5205.3061224489793</v>
      </c>
      <c r="C681" s="1">
        <v>791.01913265306121</v>
      </c>
      <c r="D681">
        <f>ROUND(store_performance[[#This Row],[AverageSales]]/store_performance[[#This Row],[AverageCustomers]],2)</f>
        <v>6.58</v>
      </c>
      <c r="E681" t="str">
        <f>_xlfn.XLOOKUP(store_performance[[#This Row],[Store]],store_clean[Store],store_clean[StoreType],"Not Found")</f>
        <v>c</v>
      </c>
    </row>
    <row r="682" spans="1:5" x14ac:dyDescent="0.2">
      <c r="A682">
        <v>681</v>
      </c>
      <c r="B682" s="1">
        <v>3561.5071707953066</v>
      </c>
      <c r="C682" s="1">
        <v>488.9400260756193</v>
      </c>
      <c r="D682">
        <f>ROUND(store_performance[[#This Row],[AverageSales]]/store_performance[[#This Row],[AverageCustomers]],2)</f>
        <v>7.28</v>
      </c>
      <c r="E682" t="str">
        <f>_xlfn.XLOOKUP(store_performance[[#This Row],[Store]],store_clean[Store],store_clean[StoreType],"Not Found")</f>
        <v>a</v>
      </c>
    </row>
    <row r="683" spans="1:5" x14ac:dyDescent="0.2">
      <c r="A683">
        <v>682</v>
      </c>
      <c r="B683" s="1">
        <v>11207.408704883228</v>
      </c>
      <c r="C683" s="1">
        <v>1758.8428874734607</v>
      </c>
      <c r="D683">
        <f>ROUND(store_performance[[#This Row],[AverageSales]]/store_performance[[#This Row],[AverageCustomers]],2)</f>
        <v>6.37</v>
      </c>
      <c r="E683" t="str">
        <f>_xlfn.XLOOKUP(store_performance[[#This Row],[Store]],store_clean[Store],store_clean[StoreType],"Not Found")</f>
        <v>b</v>
      </c>
    </row>
    <row r="684" spans="1:5" x14ac:dyDescent="0.2">
      <c r="A684">
        <v>683</v>
      </c>
      <c r="B684" s="1">
        <v>9147.0854591836742</v>
      </c>
      <c r="C684" s="1">
        <v>878.30229591836735</v>
      </c>
      <c r="D684">
        <f>ROUND(store_performance[[#This Row],[AverageSales]]/store_performance[[#This Row],[AverageCustomers]],2)</f>
        <v>10.41</v>
      </c>
      <c r="E684" t="str">
        <f>_xlfn.XLOOKUP(store_performance[[#This Row],[Store]],store_clean[Store],store_clean[StoreType],"Not Found")</f>
        <v>a</v>
      </c>
    </row>
    <row r="685" spans="1:5" x14ac:dyDescent="0.2">
      <c r="A685">
        <v>684</v>
      </c>
      <c r="B685" s="1">
        <v>7721.3665594855302</v>
      </c>
      <c r="C685" s="1">
        <v>619.2106109324759</v>
      </c>
      <c r="D685">
        <f>ROUND(store_performance[[#This Row],[AverageSales]]/store_performance[[#This Row],[AverageCustomers]],2)</f>
        <v>12.47</v>
      </c>
      <c r="E685" t="str">
        <f>_xlfn.XLOOKUP(store_performance[[#This Row],[Store]],store_clean[Store],store_clean[StoreType],"Not Found")</f>
        <v>d</v>
      </c>
    </row>
    <row r="686" spans="1:5" x14ac:dyDescent="0.2">
      <c r="A686">
        <v>685</v>
      </c>
      <c r="B686" s="1">
        <v>6630.5507060333757</v>
      </c>
      <c r="C686" s="1">
        <v>612.45314505776639</v>
      </c>
      <c r="D686">
        <f>ROUND(store_performance[[#This Row],[AverageSales]]/store_performance[[#This Row],[AverageCustomers]],2)</f>
        <v>10.83</v>
      </c>
      <c r="E686" t="str">
        <f>_xlfn.XLOOKUP(store_performance[[#This Row],[Store]],store_clean[Store],store_clean[StoreType],"Not Found")</f>
        <v>a</v>
      </c>
    </row>
    <row r="687" spans="1:5" x14ac:dyDescent="0.2">
      <c r="A687">
        <v>686</v>
      </c>
      <c r="B687" s="1">
        <v>6250.4102564102568</v>
      </c>
      <c r="C687" s="1">
        <v>753.71794871794873</v>
      </c>
      <c r="D687">
        <f>ROUND(store_performance[[#This Row],[AverageSales]]/store_performance[[#This Row],[AverageCustomers]],2)</f>
        <v>8.2899999999999991</v>
      </c>
      <c r="E687" t="str">
        <f>_xlfn.XLOOKUP(store_performance[[#This Row],[Store]],store_clean[Store],store_clean[StoreType],"Not Found")</f>
        <v>a</v>
      </c>
    </row>
    <row r="688" spans="1:5" x14ac:dyDescent="0.2">
      <c r="A688">
        <v>687</v>
      </c>
      <c r="B688" s="1">
        <v>8372.4646983311941</v>
      </c>
      <c r="C688" s="1">
        <v>734.38382541720159</v>
      </c>
      <c r="D688">
        <f>ROUND(store_performance[[#This Row],[AverageSales]]/store_performance[[#This Row],[AverageCustomers]],2)</f>
        <v>11.4</v>
      </c>
      <c r="E688" t="str">
        <f>_xlfn.XLOOKUP(store_performance[[#This Row],[Store]],store_clean[Store],store_clean[StoreType],"Not Found")</f>
        <v>d</v>
      </c>
    </row>
    <row r="689" spans="1:5" x14ac:dyDescent="0.2">
      <c r="A689">
        <v>688</v>
      </c>
      <c r="B689" s="1">
        <v>3615.8333333333335</v>
      </c>
      <c r="C689" s="1">
        <v>364.14743589743591</v>
      </c>
      <c r="D689">
        <f>ROUND(store_performance[[#This Row],[AverageSales]]/store_performance[[#This Row],[AverageCustomers]],2)</f>
        <v>9.93</v>
      </c>
      <c r="E689" t="str">
        <f>_xlfn.XLOOKUP(store_performance[[#This Row],[Store]],store_clean[Store],store_clean[StoreType],"Not Found")</f>
        <v>a</v>
      </c>
    </row>
    <row r="690" spans="1:5" x14ac:dyDescent="0.2">
      <c r="A690">
        <v>689</v>
      </c>
      <c r="B690" s="1">
        <v>7046.1126760563384</v>
      </c>
      <c r="C690" s="1">
        <v>713.45198463508325</v>
      </c>
      <c r="D690">
        <f>ROUND(store_performance[[#This Row],[AverageSales]]/store_performance[[#This Row],[AverageCustomers]],2)</f>
        <v>9.8800000000000008</v>
      </c>
      <c r="E690" t="str">
        <f>_xlfn.XLOOKUP(store_performance[[#This Row],[Store]],store_clean[Store],store_clean[StoreType],"Not Found")</f>
        <v>d</v>
      </c>
    </row>
    <row r="691" spans="1:5" x14ac:dyDescent="0.2">
      <c r="A691">
        <v>690</v>
      </c>
      <c r="B691" s="1">
        <v>5589.9871630295247</v>
      </c>
      <c r="C691" s="1">
        <v>792.15147625160466</v>
      </c>
      <c r="D691">
        <f>ROUND(store_performance[[#This Row],[AverageSales]]/store_performance[[#This Row],[AverageCustomers]],2)</f>
        <v>7.06</v>
      </c>
      <c r="E691" t="str">
        <f>_xlfn.XLOOKUP(store_performance[[#This Row],[Store]],store_clean[Store],store_clean[StoreType],"Not Found")</f>
        <v>a</v>
      </c>
    </row>
    <row r="692" spans="1:5" x14ac:dyDescent="0.2">
      <c r="A692">
        <v>691</v>
      </c>
      <c r="B692" s="1">
        <v>8371.0115532734271</v>
      </c>
      <c r="C692" s="1">
        <v>621.31065468549423</v>
      </c>
      <c r="D692">
        <f>ROUND(store_performance[[#This Row],[AverageSales]]/store_performance[[#This Row],[AverageCustomers]],2)</f>
        <v>13.47</v>
      </c>
      <c r="E692" t="str">
        <f>_xlfn.XLOOKUP(store_performance[[#This Row],[Store]],store_clean[Store],store_clean[StoreType],"Not Found")</f>
        <v>d</v>
      </c>
    </row>
    <row r="693" spans="1:5" x14ac:dyDescent="0.2">
      <c r="A693">
        <v>692</v>
      </c>
      <c r="B693" s="1">
        <v>6588.4172015404365</v>
      </c>
      <c r="C693" s="1">
        <v>797.06546854942235</v>
      </c>
      <c r="D693">
        <f>ROUND(store_performance[[#This Row],[AverageSales]]/store_performance[[#This Row],[AverageCustomers]],2)</f>
        <v>8.27</v>
      </c>
      <c r="E693" t="str">
        <f>_xlfn.XLOOKUP(store_performance[[#This Row],[Store]],store_clean[Store],store_clean[StoreType],"Not Found")</f>
        <v>a</v>
      </c>
    </row>
    <row r="694" spans="1:5" x14ac:dyDescent="0.2">
      <c r="A694">
        <v>693</v>
      </c>
      <c r="B694" s="1">
        <v>6607.9385403329061</v>
      </c>
      <c r="C694" s="1">
        <v>494.53393085787451</v>
      </c>
      <c r="D694">
        <f>ROUND(store_performance[[#This Row],[AverageSales]]/store_performance[[#This Row],[AverageCustomers]],2)</f>
        <v>13.36</v>
      </c>
      <c r="E694" t="str">
        <f>_xlfn.XLOOKUP(store_performance[[#This Row],[Store]],store_clean[Store],store_clean[StoreType],"Not Found")</f>
        <v>d</v>
      </c>
    </row>
    <row r="695" spans="1:5" x14ac:dyDescent="0.2">
      <c r="A695">
        <v>694</v>
      </c>
      <c r="B695" s="1">
        <v>8047.5225080385853</v>
      </c>
      <c r="C695" s="1">
        <v>776.31832797427649</v>
      </c>
      <c r="D695">
        <f>ROUND(store_performance[[#This Row],[AverageSales]]/store_performance[[#This Row],[AverageCustomers]],2)</f>
        <v>10.37</v>
      </c>
      <c r="E695" t="str">
        <f>_xlfn.XLOOKUP(store_performance[[#This Row],[Store]],store_clean[Store],store_clean[StoreType],"Not Found")</f>
        <v>a</v>
      </c>
    </row>
    <row r="696" spans="1:5" x14ac:dyDescent="0.2">
      <c r="A696">
        <v>695</v>
      </c>
      <c r="B696" s="1">
        <v>5393.1232349165593</v>
      </c>
      <c r="C696" s="1">
        <v>513.87933247753529</v>
      </c>
      <c r="D696">
        <f>ROUND(store_performance[[#This Row],[AverageSales]]/store_performance[[#This Row],[AverageCustomers]],2)</f>
        <v>10.49</v>
      </c>
      <c r="E696" t="str">
        <f>_xlfn.XLOOKUP(store_performance[[#This Row],[Store]],store_clean[Store],store_clean[StoreType],"Not Found")</f>
        <v>a</v>
      </c>
    </row>
    <row r="697" spans="1:5" x14ac:dyDescent="0.2">
      <c r="A697">
        <v>696</v>
      </c>
      <c r="B697" s="1">
        <v>7850.1390306122448</v>
      </c>
      <c r="C697" s="1">
        <v>995.58928571428567</v>
      </c>
      <c r="D697">
        <f>ROUND(store_performance[[#This Row],[AverageSales]]/store_performance[[#This Row],[AverageCustomers]],2)</f>
        <v>7.88</v>
      </c>
      <c r="E697" t="str">
        <f>_xlfn.XLOOKUP(store_performance[[#This Row],[Store]],store_clean[Store],store_clean[StoreType],"Not Found")</f>
        <v>a</v>
      </c>
    </row>
    <row r="698" spans="1:5" x14ac:dyDescent="0.2">
      <c r="A698">
        <v>697</v>
      </c>
      <c r="B698" s="1">
        <v>10656.173299101412</v>
      </c>
      <c r="C698" s="1">
        <v>1004.6418485237484</v>
      </c>
      <c r="D698">
        <f>ROUND(store_performance[[#This Row],[AverageSales]]/store_performance[[#This Row],[AverageCustomers]],2)</f>
        <v>10.61</v>
      </c>
      <c r="E698" t="str">
        <f>_xlfn.XLOOKUP(store_performance[[#This Row],[Store]],store_clean[Store],store_clean[StoreType],"Not Found")</f>
        <v>d</v>
      </c>
    </row>
    <row r="699" spans="1:5" x14ac:dyDescent="0.2">
      <c r="A699">
        <v>698</v>
      </c>
      <c r="B699" s="1">
        <v>15564.119897959185</v>
      </c>
      <c r="C699" s="1">
        <v>1936.6122448979593</v>
      </c>
      <c r="D699">
        <f>ROUND(store_performance[[#This Row],[AverageSales]]/store_performance[[#This Row],[AverageCustomers]],2)</f>
        <v>8.0399999999999991</v>
      </c>
      <c r="E699" t="str">
        <f>_xlfn.XLOOKUP(store_performance[[#This Row],[Store]],store_clean[Store],store_clean[StoreType],"Not Found")</f>
        <v>a</v>
      </c>
    </row>
    <row r="700" spans="1:5" x14ac:dyDescent="0.2">
      <c r="A700">
        <v>699</v>
      </c>
      <c r="B700" s="1">
        <v>8320.1292428198431</v>
      </c>
      <c r="C700" s="1">
        <v>978.21409921671022</v>
      </c>
      <c r="D700">
        <f>ROUND(store_performance[[#This Row],[AverageSales]]/store_performance[[#This Row],[AverageCustomers]],2)</f>
        <v>8.51</v>
      </c>
      <c r="E700" t="str">
        <f>_xlfn.XLOOKUP(store_performance[[#This Row],[Store]],store_clean[Store],store_clean[StoreType],"Not Found")</f>
        <v>a</v>
      </c>
    </row>
    <row r="701" spans="1:5" x14ac:dyDescent="0.2">
      <c r="A701">
        <v>700</v>
      </c>
      <c r="B701" s="1">
        <v>4356.4821664464989</v>
      </c>
      <c r="C701" s="1">
        <v>527.13606340819024</v>
      </c>
      <c r="D701">
        <f>ROUND(store_performance[[#This Row],[AverageSales]]/store_performance[[#This Row],[AverageCustomers]],2)</f>
        <v>8.26</v>
      </c>
      <c r="E701" t="str">
        <f>_xlfn.XLOOKUP(store_performance[[#This Row],[Store]],store_clean[Store],store_clean[StoreType],"Not Found")</f>
        <v>a</v>
      </c>
    </row>
    <row r="702" spans="1:5" x14ac:dyDescent="0.2">
      <c r="A702">
        <v>701</v>
      </c>
      <c r="B702" s="1">
        <v>5778.9742765273313</v>
      </c>
      <c r="C702" s="1">
        <v>629.64790996784564</v>
      </c>
      <c r="D702">
        <f>ROUND(store_performance[[#This Row],[AverageSales]]/store_performance[[#This Row],[AverageCustomers]],2)</f>
        <v>9.18</v>
      </c>
      <c r="E702" t="str">
        <f>_xlfn.XLOOKUP(store_performance[[#This Row],[Store]],store_clean[Store],store_clean[StoreType],"Not Found")</f>
        <v>d</v>
      </c>
    </row>
    <row r="703" spans="1:5" x14ac:dyDescent="0.2">
      <c r="A703">
        <v>702</v>
      </c>
      <c r="B703" s="1">
        <v>4373.971061093248</v>
      </c>
      <c r="C703" s="1">
        <v>347.21864951768487</v>
      </c>
      <c r="D703">
        <f>ROUND(store_performance[[#This Row],[AverageSales]]/store_performance[[#This Row],[AverageCustomers]],2)</f>
        <v>12.6</v>
      </c>
      <c r="E703" t="str">
        <f>_xlfn.XLOOKUP(store_performance[[#This Row],[Store]],store_clean[Store],store_clean[StoreType],"Not Found")</f>
        <v>a</v>
      </c>
    </row>
    <row r="704" spans="1:5" x14ac:dyDescent="0.2">
      <c r="A704">
        <v>703</v>
      </c>
      <c r="B704" s="1">
        <v>3290.5340179717587</v>
      </c>
      <c r="C704" s="1">
        <v>352.55712451861359</v>
      </c>
      <c r="D704">
        <f>ROUND(store_performance[[#This Row],[AverageSales]]/store_performance[[#This Row],[AverageCustomers]],2)</f>
        <v>9.33</v>
      </c>
      <c r="E704" t="str">
        <f>_xlfn.XLOOKUP(store_performance[[#This Row],[Store]],store_clean[Store],store_clean[StoreType],"Not Found")</f>
        <v>a</v>
      </c>
    </row>
    <row r="705" spans="1:5" x14ac:dyDescent="0.2">
      <c r="A705">
        <v>704</v>
      </c>
      <c r="B705" s="1">
        <v>10393.865900383142</v>
      </c>
      <c r="C705" s="1">
        <v>1077.5478927203064</v>
      </c>
      <c r="D705">
        <f>ROUND(store_performance[[#This Row],[AverageSales]]/store_performance[[#This Row],[AverageCustomers]],2)</f>
        <v>9.65</v>
      </c>
      <c r="E705" t="str">
        <f>_xlfn.XLOOKUP(store_performance[[#This Row],[Store]],store_clean[Store],store_clean[StoreType],"Not Found")</f>
        <v>d</v>
      </c>
    </row>
    <row r="706" spans="1:5" x14ac:dyDescent="0.2">
      <c r="A706">
        <v>705</v>
      </c>
      <c r="B706" s="1">
        <v>7967.2670089858793</v>
      </c>
      <c r="C706" s="1">
        <v>959.33247753530168</v>
      </c>
      <c r="D706">
        <f>ROUND(store_performance[[#This Row],[AverageSales]]/store_performance[[#This Row],[AverageCustomers]],2)</f>
        <v>8.31</v>
      </c>
      <c r="E706" t="str">
        <f>_xlfn.XLOOKUP(store_performance[[#This Row],[Store]],store_clean[Store],store_clean[StoreType],"Not Found")</f>
        <v>a</v>
      </c>
    </row>
    <row r="707" spans="1:5" x14ac:dyDescent="0.2">
      <c r="A707">
        <v>706</v>
      </c>
      <c r="B707" s="1">
        <v>5743.2652733118975</v>
      </c>
      <c r="C707" s="1">
        <v>524.43247588424435</v>
      </c>
      <c r="D707">
        <f>ROUND(store_performance[[#This Row],[AverageSales]]/store_performance[[#This Row],[AverageCustomers]],2)</f>
        <v>10.95</v>
      </c>
      <c r="E707" t="str">
        <f>_xlfn.XLOOKUP(store_performance[[#This Row],[Store]],store_clean[Store],store_clean[StoreType],"Not Found")</f>
        <v>d</v>
      </c>
    </row>
    <row r="708" spans="1:5" x14ac:dyDescent="0.2">
      <c r="A708">
        <v>707</v>
      </c>
      <c r="B708" s="1">
        <v>8319.7317073170725</v>
      </c>
      <c r="C708" s="1">
        <v>913.95378690629013</v>
      </c>
      <c r="D708">
        <f>ROUND(store_performance[[#This Row],[AverageSales]]/store_performance[[#This Row],[AverageCustomers]],2)</f>
        <v>9.1</v>
      </c>
      <c r="E708" t="str">
        <f>_xlfn.XLOOKUP(store_performance[[#This Row],[Store]],store_clean[Store],store_clean[StoreType],"Not Found")</f>
        <v>a</v>
      </c>
    </row>
    <row r="709" spans="1:5" x14ac:dyDescent="0.2">
      <c r="A709">
        <v>708</v>
      </c>
      <c r="B709" s="1">
        <v>4571.9898255813951</v>
      </c>
      <c r="C709" s="1">
        <v>472.95348837209303</v>
      </c>
      <c r="D709">
        <f>ROUND(store_performance[[#This Row],[AverageSales]]/store_performance[[#This Row],[AverageCustomers]],2)</f>
        <v>9.67</v>
      </c>
      <c r="E709" t="str">
        <f>_xlfn.XLOOKUP(store_performance[[#This Row],[Store]],store_clean[Store],store_clean[StoreType],"Not Found")</f>
        <v>c</v>
      </c>
    </row>
    <row r="710" spans="1:5" x14ac:dyDescent="0.2">
      <c r="A710">
        <v>709</v>
      </c>
      <c r="B710" s="1">
        <v>9886.9158163265311</v>
      </c>
      <c r="C710" s="1">
        <v>1297.7372448979593</v>
      </c>
      <c r="D710">
        <f>ROUND(store_performance[[#This Row],[AverageSales]]/store_performance[[#This Row],[AverageCustomers]],2)</f>
        <v>7.62</v>
      </c>
      <c r="E710" t="str">
        <f>_xlfn.XLOOKUP(store_performance[[#This Row],[Store]],store_clean[Store],store_clean[StoreType],"Not Found")</f>
        <v>a</v>
      </c>
    </row>
    <row r="711" spans="1:5" x14ac:dyDescent="0.2">
      <c r="A711">
        <v>710</v>
      </c>
      <c r="B711" s="1">
        <v>4546.6527331189709</v>
      </c>
      <c r="C711" s="1">
        <v>373.18649517684889</v>
      </c>
      <c r="D711">
        <f>ROUND(store_performance[[#This Row],[AverageSales]]/store_performance[[#This Row],[AverageCustomers]],2)</f>
        <v>12.18</v>
      </c>
      <c r="E711" t="str">
        <f>_xlfn.XLOOKUP(store_performance[[#This Row],[Store]],store_clean[Store],store_clean[StoreType],"Not Found")</f>
        <v>d</v>
      </c>
    </row>
    <row r="712" spans="1:5" x14ac:dyDescent="0.2">
      <c r="A712">
        <v>711</v>
      </c>
      <c r="B712" s="1">
        <v>6914.3916532905296</v>
      </c>
      <c r="C712" s="1">
        <v>511.31942215088282</v>
      </c>
      <c r="D712">
        <f>ROUND(store_performance[[#This Row],[AverageSales]]/store_performance[[#This Row],[AverageCustomers]],2)</f>
        <v>13.52</v>
      </c>
      <c r="E712" t="str">
        <f>_xlfn.XLOOKUP(store_performance[[#This Row],[Store]],store_clean[Store],store_clean[StoreType],"Not Found")</f>
        <v>d</v>
      </c>
    </row>
    <row r="713" spans="1:5" x14ac:dyDescent="0.2">
      <c r="A713">
        <v>712</v>
      </c>
      <c r="B713" s="1">
        <v>6421.442122186495</v>
      </c>
      <c r="C713" s="1">
        <v>574.67684887459802</v>
      </c>
      <c r="D713">
        <f>ROUND(store_performance[[#This Row],[AverageSales]]/store_performance[[#This Row],[AverageCustomers]],2)</f>
        <v>11.17</v>
      </c>
      <c r="E713" t="str">
        <f>_xlfn.XLOOKUP(store_performance[[#This Row],[Store]],store_clean[Store],store_clean[StoreType],"Not Found")</f>
        <v>a</v>
      </c>
    </row>
    <row r="714" spans="1:5" x14ac:dyDescent="0.2">
      <c r="A714">
        <v>713</v>
      </c>
      <c r="B714" s="1">
        <v>10718.055198973043</v>
      </c>
      <c r="C714" s="1">
        <v>1313.7663671373555</v>
      </c>
      <c r="D714">
        <f>ROUND(store_performance[[#This Row],[AverageSales]]/store_performance[[#This Row],[AverageCustomers]],2)</f>
        <v>8.16</v>
      </c>
      <c r="E714" t="str">
        <f>_xlfn.XLOOKUP(store_performance[[#This Row],[Store]],store_clean[Store],store_clean[StoreType],"Not Found")</f>
        <v>a</v>
      </c>
    </row>
    <row r="715" spans="1:5" x14ac:dyDescent="0.2">
      <c r="A715">
        <v>714</v>
      </c>
      <c r="B715" s="1">
        <v>4553.9472329472328</v>
      </c>
      <c r="C715" s="1">
        <v>331.12226512226511</v>
      </c>
      <c r="D715">
        <f>ROUND(store_performance[[#This Row],[AverageSales]]/store_performance[[#This Row],[AverageCustomers]],2)</f>
        <v>13.75</v>
      </c>
      <c r="E715" t="str">
        <f>_xlfn.XLOOKUP(store_performance[[#This Row],[Store]],store_clean[Store],store_clean[StoreType],"Not Found")</f>
        <v>d</v>
      </c>
    </row>
    <row r="716" spans="1:5" x14ac:dyDescent="0.2">
      <c r="A716">
        <v>715</v>
      </c>
      <c r="B716" s="1">
        <v>6491.0953608247419</v>
      </c>
      <c r="C716" s="1">
        <v>675.4033505154639</v>
      </c>
      <c r="D716">
        <f>ROUND(store_performance[[#This Row],[AverageSales]]/store_performance[[#This Row],[AverageCustomers]],2)</f>
        <v>9.61</v>
      </c>
      <c r="E716" t="str">
        <f>_xlfn.XLOOKUP(store_performance[[#This Row],[Store]],store_clean[Store],store_clean[StoreType],"Not Found")</f>
        <v>a</v>
      </c>
    </row>
    <row r="717" spans="1:5" x14ac:dyDescent="0.2">
      <c r="A717">
        <v>716</v>
      </c>
      <c r="B717" s="1">
        <v>5717.0819935691316</v>
      </c>
      <c r="C717" s="1">
        <v>454.30868167202573</v>
      </c>
      <c r="D717">
        <f>ROUND(store_performance[[#This Row],[AverageSales]]/store_performance[[#This Row],[AverageCustomers]],2)</f>
        <v>12.58</v>
      </c>
      <c r="E717" t="str">
        <f>_xlfn.XLOOKUP(store_performance[[#This Row],[Store]],store_clean[Store],store_clean[StoreType],"Not Found")</f>
        <v>d</v>
      </c>
    </row>
    <row r="718" spans="1:5" x14ac:dyDescent="0.2">
      <c r="A718">
        <v>717</v>
      </c>
      <c r="B718" s="1">
        <v>5552.894736842105</v>
      </c>
      <c r="C718" s="1">
        <v>559.42105263157896</v>
      </c>
      <c r="D718">
        <f>ROUND(store_performance[[#This Row],[AverageSales]]/store_performance[[#This Row],[AverageCustomers]],2)</f>
        <v>9.93</v>
      </c>
      <c r="E718" t="str">
        <f>_xlfn.XLOOKUP(store_performance[[#This Row],[Store]],store_clean[Store],store_clean[StoreType],"Not Found")</f>
        <v>d</v>
      </c>
    </row>
    <row r="719" spans="1:5" x14ac:dyDescent="0.2">
      <c r="A719">
        <v>718</v>
      </c>
      <c r="B719" s="1">
        <v>7911.313700384123</v>
      </c>
      <c r="C719" s="1">
        <v>855.23943661971828</v>
      </c>
      <c r="D719">
        <f>ROUND(store_performance[[#This Row],[AverageSales]]/store_performance[[#This Row],[AverageCustomers]],2)</f>
        <v>9.25</v>
      </c>
      <c r="E719" t="str">
        <f>_xlfn.XLOOKUP(store_performance[[#This Row],[Store]],store_clean[Store],store_clean[StoreType],"Not Found")</f>
        <v>a</v>
      </c>
    </row>
    <row r="720" spans="1:5" x14ac:dyDescent="0.2">
      <c r="A720">
        <v>719</v>
      </c>
      <c r="B720" s="1">
        <v>5383.6045016077169</v>
      </c>
      <c r="C720" s="1">
        <v>456.75241157556269</v>
      </c>
      <c r="D720">
        <f>ROUND(store_performance[[#This Row],[AverageSales]]/store_performance[[#This Row],[AverageCustomers]],2)</f>
        <v>11.79</v>
      </c>
      <c r="E720" t="str">
        <f>_xlfn.XLOOKUP(store_performance[[#This Row],[Store]],store_clean[Store],store_clean[StoreType],"Not Found")</f>
        <v>c</v>
      </c>
    </row>
    <row r="721" spans="1:5" x14ac:dyDescent="0.2">
      <c r="A721">
        <v>720</v>
      </c>
      <c r="B721" s="1">
        <v>7166.1288265306121</v>
      </c>
      <c r="C721" s="1">
        <v>717.4795918367347</v>
      </c>
      <c r="D721">
        <f>ROUND(store_performance[[#This Row],[AverageSales]]/store_performance[[#This Row],[AverageCustomers]],2)</f>
        <v>9.99</v>
      </c>
      <c r="E721" t="str">
        <f>_xlfn.XLOOKUP(store_performance[[#This Row],[Store]],store_clean[Store],store_clean[StoreType],"Not Found")</f>
        <v>a</v>
      </c>
    </row>
    <row r="722" spans="1:5" x14ac:dyDescent="0.2">
      <c r="A722">
        <v>721</v>
      </c>
      <c r="B722" s="1">
        <v>7673.4132653061224</v>
      </c>
      <c r="C722" s="1">
        <v>756.20408163265301</v>
      </c>
      <c r="D722">
        <f>ROUND(store_performance[[#This Row],[AverageSales]]/store_performance[[#This Row],[AverageCustomers]],2)</f>
        <v>10.15</v>
      </c>
      <c r="E722" t="str">
        <f>_xlfn.XLOOKUP(store_performance[[#This Row],[Store]],store_clean[Store],store_clean[StoreType],"Not Found")</f>
        <v>a</v>
      </c>
    </row>
    <row r="723" spans="1:5" x14ac:dyDescent="0.2">
      <c r="A723">
        <v>722</v>
      </c>
      <c r="B723" s="1">
        <v>9836.6466836734689</v>
      </c>
      <c r="C723" s="1">
        <v>1583.0663265306123</v>
      </c>
      <c r="D723">
        <f>ROUND(store_performance[[#This Row],[AverageSales]]/store_performance[[#This Row],[AverageCustomers]],2)</f>
        <v>6.21</v>
      </c>
      <c r="E723" t="str">
        <f>_xlfn.XLOOKUP(store_performance[[#This Row],[Store]],store_clean[Store],store_clean[StoreType],"Not Found")</f>
        <v>a</v>
      </c>
    </row>
    <row r="724" spans="1:5" x14ac:dyDescent="0.2">
      <c r="A724">
        <v>723</v>
      </c>
      <c r="B724" s="1">
        <v>7032.1037131882204</v>
      </c>
      <c r="C724" s="1">
        <v>566.83866837387961</v>
      </c>
      <c r="D724">
        <f>ROUND(store_performance[[#This Row],[AverageSales]]/store_performance[[#This Row],[AverageCustomers]],2)</f>
        <v>12.41</v>
      </c>
      <c r="E724" t="str">
        <f>_xlfn.XLOOKUP(store_performance[[#This Row],[Store]],store_clean[Store],store_clean[StoreType],"Not Found")</f>
        <v>d</v>
      </c>
    </row>
    <row r="725" spans="1:5" x14ac:dyDescent="0.2">
      <c r="A725">
        <v>724</v>
      </c>
      <c r="B725" s="1">
        <v>6812.9050064184848</v>
      </c>
      <c r="C725" s="1">
        <v>699.10654685494228</v>
      </c>
      <c r="D725">
        <f>ROUND(store_performance[[#This Row],[AverageSales]]/store_performance[[#This Row],[AverageCustomers]],2)</f>
        <v>9.75</v>
      </c>
      <c r="E725" t="str">
        <f>_xlfn.XLOOKUP(store_performance[[#This Row],[Store]],store_clean[Store],store_clean[StoreType],"Not Found")</f>
        <v>d</v>
      </c>
    </row>
    <row r="726" spans="1:5" x14ac:dyDescent="0.2">
      <c r="A726">
        <v>725</v>
      </c>
      <c r="B726" s="1">
        <v>5747.4247448979595</v>
      </c>
      <c r="C726" s="1">
        <v>595.35714285714289</v>
      </c>
      <c r="D726">
        <f>ROUND(store_performance[[#This Row],[AverageSales]]/store_performance[[#This Row],[AverageCustomers]],2)</f>
        <v>9.65</v>
      </c>
      <c r="E726" t="str">
        <f>_xlfn.XLOOKUP(store_performance[[#This Row],[Store]],store_clean[Store],store_clean[StoreType],"Not Found")</f>
        <v>d</v>
      </c>
    </row>
    <row r="727" spans="1:5" x14ac:dyDescent="0.2">
      <c r="A727">
        <v>726</v>
      </c>
      <c r="B727" s="1">
        <v>11048.673076923076</v>
      </c>
      <c r="C727" s="1">
        <v>1064.5333333333333</v>
      </c>
      <c r="D727">
        <f>ROUND(store_performance[[#This Row],[AverageSales]]/store_performance[[#This Row],[AverageCustomers]],2)</f>
        <v>10.38</v>
      </c>
      <c r="E727" t="str">
        <f>_xlfn.XLOOKUP(store_performance[[#This Row],[Store]],store_clean[Store],store_clean[StoreType],"Not Found")</f>
        <v>a</v>
      </c>
    </row>
    <row r="728" spans="1:5" x14ac:dyDescent="0.2">
      <c r="A728">
        <v>727</v>
      </c>
      <c r="B728" s="1">
        <v>4529.2906530089631</v>
      </c>
      <c r="C728" s="1">
        <v>452.83354673495518</v>
      </c>
      <c r="D728">
        <f>ROUND(store_performance[[#This Row],[AverageSales]]/store_performance[[#This Row],[AverageCustomers]],2)</f>
        <v>10</v>
      </c>
      <c r="E728" t="str">
        <f>_xlfn.XLOOKUP(store_performance[[#This Row],[Store]],store_clean[Store],store_clean[StoreType],"Not Found")</f>
        <v>a</v>
      </c>
    </row>
    <row r="729" spans="1:5" x14ac:dyDescent="0.2">
      <c r="A729">
        <v>728</v>
      </c>
      <c r="B729" s="1">
        <v>5245.7078507078504</v>
      </c>
      <c r="C729" s="1">
        <v>458.06048906048903</v>
      </c>
      <c r="D729">
        <f>ROUND(store_performance[[#This Row],[AverageSales]]/store_performance[[#This Row],[AverageCustomers]],2)</f>
        <v>11.45</v>
      </c>
      <c r="E729" t="str">
        <f>_xlfn.XLOOKUP(store_performance[[#This Row],[Store]],store_clean[Store],store_clean[StoreType],"Not Found")</f>
        <v>d</v>
      </c>
    </row>
    <row r="730" spans="1:5" x14ac:dyDescent="0.2">
      <c r="A730">
        <v>729</v>
      </c>
      <c r="B730" s="1">
        <v>10548.913992297817</v>
      </c>
      <c r="C730" s="1">
        <v>1082.3350449293966</v>
      </c>
      <c r="D730">
        <f>ROUND(store_performance[[#This Row],[AverageSales]]/store_performance[[#This Row],[AverageCustomers]],2)</f>
        <v>9.75</v>
      </c>
      <c r="E730" t="str">
        <f>_xlfn.XLOOKUP(store_performance[[#This Row],[Store]],store_clean[Store],store_clean[StoreType],"Not Found")</f>
        <v>c</v>
      </c>
    </row>
    <row r="731" spans="1:5" x14ac:dyDescent="0.2">
      <c r="A731">
        <v>730</v>
      </c>
      <c r="B731" s="1">
        <v>8055.3724489795923</v>
      </c>
      <c r="C731" s="1">
        <v>984.27551020408168</v>
      </c>
      <c r="D731">
        <f>ROUND(store_performance[[#This Row],[AverageSales]]/store_performance[[#This Row],[AverageCustomers]],2)</f>
        <v>8.18</v>
      </c>
      <c r="E731" t="str">
        <f>_xlfn.XLOOKUP(store_performance[[#This Row],[Store]],store_clean[Store],store_clean[StoreType],"Not Found")</f>
        <v>c</v>
      </c>
    </row>
    <row r="732" spans="1:5" x14ac:dyDescent="0.2">
      <c r="A732">
        <v>731</v>
      </c>
      <c r="B732" s="1">
        <v>9249.2293814432996</v>
      </c>
      <c r="C732" s="1">
        <v>950.91752577319585</v>
      </c>
      <c r="D732">
        <f>ROUND(store_performance[[#This Row],[AverageSales]]/store_performance[[#This Row],[AverageCustomers]],2)</f>
        <v>9.73</v>
      </c>
      <c r="E732" t="str">
        <f>_xlfn.XLOOKUP(store_performance[[#This Row],[Store]],store_clean[Store],store_clean[StoreType],"Not Found")</f>
        <v>a</v>
      </c>
    </row>
    <row r="733" spans="1:5" x14ac:dyDescent="0.2">
      <c r="A733">
        <v>732</v>
      </c>
      <c r="B733" s="1">
        <v>5816.4394110985277</v>
      </c>
      <c r="C733" s="1">
        <v>661.45979614949033</v>
      </c>
      <c r="D733">
        <f>ROUND(store_performance[[#This Row],[AverageSales]]/store_performance[[#This Row],[AverageCustomers]],2)</f>
        <v>8.7899999999999991</v>
      </c>
      <c r="E733" t="str">
        <f>_xlfn.XLOOKUP(store_performance[[#This Row],[Store]],store_clean[Store],store_clean[StoreType],"Not Found")</f>
        <v>a</v>
      </c>
    </row>
    <row r="734" spans="1:5" x14ac:dyDescent="0.2">
      <c r="A734">
        <v>733</v>
      </c>
      <c r="B734" s="1">
        <v>14933.288747346072</v>
      </c>
      <c r="C734" s="1">
        <v>3403.4585987261148</v>
      </c>
      <c r="D734">
        <f>ROUND(store_performance[[#This Row],[AverageSales]]/store_performance[[#This Row],[AverageCustomers]],2)</f>
        <v>4.3899999999999997</v>
      </c>
      <c r="E734" t="str">
        <f>_xlfn.XLOOKUP(store_performance[[#This Row],[Store]],store_clean[Store],store_clean[StoreType],"Not Found")</f>
        <v>b</v>
      </c>
    </row>
    <row r="735" spans="1:5" x14ac:dyDescent="0.2">
      <c r="A735">
        <v>734</v>
      </c>
      <c r="B735" s="1">
        <v>5980.5237483953788</v>
      </c>
      <c r="C735" s="1">
        <v>566.05134788189991</v>
      </c>
      <c r="D735">
        <f>ROUND(store_performance[[#This Row],[AverageSales]]/store_performance[[#This Row],[AverageCustomers]],2)</f>
        <v>10.57</v>
      </c>
      <c r="E735" t="str">
        <f>_xlfn.XLOOKUP(store_performance[[#This Row],[Store]],store_clean[Store],store_clean[StoreType],"Not Found")</f>
        <v>a</v>
      </c>
    </row>
    <row r="736" spans="1:5" x14ac:dyDescent="0.2">
      <c r="A736">
        <v>735</v>
      </c>
      <c r="B736" s="1">
        <v>5518.541025641026</v>
      </c>
      <c r="C736" s="1">
        <v>544.33717948717947</v>
      </c>
      <c r="D736">
        <f>ROUND(store_performance[[#This Row],[AverageSales]]/store_performance[[#This Row],[AverageCustomers]],2)</f>
        <v>10.14</v>
      </c>
      <c r="E736" t="str">
        <f>_xlfn.XLOOKUP(store_performance[[#This Row],[Store]],store_clean[Store],store_clean[StoreType],"Not Found")</f>
        <v>d</v>
      </c>
    </row>
    <row r="737" spans="1:5" x14ac:dyDescent="0.2">
      <c r="A737">
        <v>736</v>
      </c>
      <c r="B737" s="1">
        <v>5244.0755627009648</v>
      </c>
      <c r="C737" s="1">
        <v>509.28295819935693</v>
      </c>
      <c r="D737">
        <f>ROUND(store_performance[[#This Row],[AverageSales]]/store_performance[[#This Row],[AverageCustomers]],2)</f>
        <v>10.3</v>
      </c>
      <c r="E737" t="str">
        <f>_xlfn.XLOOKUP(store_performance[[#This Row],[Store]],store_clean[Store],store_clean[StoreType],"Not Found")</f>
        <v>c</v>
      </c>
    </row>
    <row r="738" spans="1:5" x14ac:dyDescent="0.2">
      <c r="A738">
        <v>737</v>
      </c>
      <c r="B738" s="1">
        <v>6117.9011553273431</v>
      </c>
      <c r="C738" s="1">
        <v>898.41206675224646</v>
      </c>
      <c r="D738">
        <f>ROUND(store_performance[[#This Row],[AverageSales]]/store_performance[[#This Row],[AverageCustomers]],2)</f>
        <v>6.81</v>
      </c>
      <c r="E738" t="str">
        <f>_xlfn.XLOOKUP(store_performance[[#This Row],[Store]],store_clean[Store],store_clean[StoreType],"Not Found")</f>
        <v>a</v>
      </c>
    </row>
    <row r="739" spans="1:5" x14ac:dyDescent="0.2">
      <c r="A739">
        <v>738</v>
      </c>
      <c r="B739" s="1">
        <v>8508.6007702182287</v>
      </c>
      <c r="C739" s="1">
        <v>701.71501925545567</v>
      </c>
      <c r="D739">
        <f>ROUND(store_performance[[#This Row],[AverageSales]]/store_performance[[#This Row],[AverageCustomers]],2)</f>
        <v>12.13</v>
      </c>
      <c r="E739" t="str">
        <f>_xlfn.XLOOKUP(store_performance[[#This Row],[Store]],store_clean[Store],store_clean[StoreType],"Not Found")</f>
        <v>d</v>
      </c>
    </row>
    <row r="740" spans="1:5" x14ac:dyDescent="0.2">
      <c r="A740">
        <v>739</v>
      </c>
      <c r="B740" s="1">
        <v>9557.6655948553052</v>
      </c>
      <c r="C740" s="1">
        <v>765.30385852090035</v>
      </c>
      <c r="D740">
        <f>ROUND(store_performance[[#This Row],[AverageSales]]/store_performance[[#This Row],[AverageCustomers]],2)</f>
        <v>12.49</v>
      </c>
      <c r="E740" t="str">
        <f>_xlfn.XLOOKUP(store_performance[[#This Row],[Store]],store_clean[Store],store_clean[StoreType],"Not Found")</f>
        <v>d</v>
      </c>
    </row>
    <row r="741" spans="1:5" x14ac:dyDescent="0.2">
      <c r="A741">
        <v>740</v>
      </c>
      <c r="B741" s="1">
        <v>6978.1766965428933</v>
      </c>
      <c r="C741" s="1">
        <v>509.15108834827146</v>
      </c>
      <c r="D741">
        <f>ROUND(store_performance[[#This Row],[AverageSales]]/store_performance[[#This Row],[AverageCustomers]],2)</f>
        <v>13.71</v>
      </c>
      <c r="E741" t="str">
        <f>_xlfn.XLOOKUP(store_performance[[#This Row],[Store]],store_clean[Store],store_clean[StoreType],"Not Found")</f>
        <v>d</v>
      </c>
    </row>
    <row r="742" spans="1:5" x14ac:dyDescent="0.2">
      <c r="A742">
        <v>741</v>
      </c>
      <c r="B742" s="1">
        <v>7619.4681122448983</v>
      </c>
      <c r="C742" s="1">
        <v>920.23086734693879</v>
      </c>
      <c r="D742">
        <f>ROUND(store_performance[[#This Row],[AverageSales]]/store_performance[[#This Row],[AverageCustomers]],2)</f>
        <v>8.2799999999999994</v>
      </c>
      <c r="E742" t="str">
        <f>_xlfn.XLOOKUP(store_performance[[#This Row],[Store]],store_clean[Store],store_clean[StoreType],"Not Found")</f>
        <v>d</v>
      </c>
    </row>
    <row r="743" spans="1:5" x14ac:dyDescent="0.2">
      <c r="A743">
        <v>742</v>
      </c>
      <c r="B743" s="1">
        <v>8025.8883183568678</v>
      </c>
      <c r="C743" s="1">
        <v>872.77663671373557</v>
      </c>
      <c r="D743">
        <f>ROUND(store_performance[[#This Row],[AverageSales]]/store_performance[[#This Row],[AverageCustomers]],2)</f>
        <v>9.1999999999999993</v>
      </c>
      <c r="E743" t="str">
        <f>_xlfn.XLOOKUP(store_performance[[#This Row],[Store]],store_clean[Store],store_clean[StoreType],"Not Found")</f>
        <v>d</v>
      </c>
    </row>
    <row r="744" spans="1:5" x14ac:dyDescent="0.2">
      <c r="A744">
        <v>743</v>
      </c>
      <c r="B744" s="1">
        <v>3816.5897435897436</v>
      </c>
      <c r="C744" s="1">
        <v>418.32820512820513</v>
      </c>
      <c r="D744">
        <f>ROUND(store_performance[[#This Row],[AverageSales]]/store_performance[[#This Row],[AverageCustomers]],2)</f>
        <v>9.1199999999999992</v>
      </c>
      <c r="E744" t="str">
        <f>_xlfn.XLOOKUP(store_performance[[#This Row],[Store]],store_clean[Store],store_clean[StoreType],"Not Found")</f>
        <v>a</v>
      </c>
    </row>
    <row r="745" spans="1:5" x14ac:dyDescent="0.2">
      <c r="A745">
        <v>744</v>
      </c>
      <c r="B745" s="1">
        <v>7457.0677685950413</v>
      </c>
      <c r="C745" s="1">
        <v>834.8115702479339</v>
      </c>
      <c r="D745">
        <f>ROUND(store_performance[[#This Row],[AverageSales]]/store_performance[[#This Row],[AverageCustomers]],2)</f>
        <v>8.93</v>
      </c>
      <c r="E745" t="str">
        <f>_xlfn.XLOOKUP(store_performance[[#This Row],[Store]],store_clean[Store],store_clean[StoreType],"Not Found")</f>
        <v>a</v>
      </c>
    </row>
    <row r="746" spans="1:5" x14ac:dyDescent="0.2">
      <c r="A746">
        <v>745</v>
      </c>
      <c r="B746" s="1">
        <v>7499.0782051282049</v>
      </c>
      <c r="C746" s="1">
        <v>709.62948717948723</v>
      </c>
      <c r="D746">
        <f>ROUND(store_performance[[#This Row],[AverageSales]]/store_performance[[#This Row],[AverageCustomers]],2)</f>
        <v>10.57</v>
      </c>
      <c r="E746" t="str">
        <f>_xlfn.XLOOKUP(store_performance[[#This Row],[Store]],store_clean[Store],store_clean[StoreType],"Not Found")</f>
        <v>a</v>
      </c>
    </row>
    <row r="747" spans="1:5" x14ac:dyDescent="0.2">
      <c r="A747">
        <v>746</v>
      </c>
      <c r="B747" s="1">
        <v>6039.5492957746483</v>
      </c>
      <c r="C747" s="1">
        <v>509.04993597951346</v>
      </c>
      <c r="D747">
        <f>ROUND(store_performance[[#This Row],[AverageSales]]/store_performance[[#This Row],[AverageCustomers]],2)</f>
        <v>11.86</v>
      </c>
      <c r="E747" t="str">
        <f>_xlfn.XLOOKUP(store_performance[[#This Row],[Store]],store_clean[Store],store_clean[StoreType],"Not Found")</f>
        <v>d</v>
      </c>
    </row>
    <row r="748" spans="1:5" x14ac:dyDescent="0.2">
      <c r="A748">
        <v>747</v>
      </c>
      <c r="B748" s="1">
        <v>8027.1461538461535</v>
      </c>
      <c r="C748" s="1">
        <v>701.34743589743584</v>
      </c>
      <c r="D748">
        <f>ROUND(store_performance[[#This Row],[AverageSales]]/store_performance[[#This Row],[AverageCustomers]],2)</f>
        <v>11.45</v>
      </c>
      <c r="E748" t="str">
        <f>_xlfn.XLOOKUP(store_performance[[#This Row],[Store]],store_clean[Store],store_clean[StoreType],"Not Found")</f>
        <v>c</v>
      </c>
    </row>
    <row r="749" spans="1:5" x14ac:dyDescent="0.2">
      <c r="A749">
        <v>748</v>
      </c>
      <c r="B749" s="1">
        <v>5737.6765083440305</v>
      </c>
      <c r="C749" s="1">
        <v>487.65725288831834</v>
      </c>
      <c r="D749">
        <f>ROUND(store_performance[[#This Row],[AverageSales]]/store_performance[[#This Row],[AverageCustomers]],2)</f>
        <v>11.77</v>
      </c>
      <c r="E749" t="str">
        <f>_xlfn.XLOOKUP(store_performance[[#This Row],[Store]],store_clean[Store],store_clean[StoreType],"Not Found")</f>
        <v>d</v>
      </c>
    </row>
    <row r="750" spans="1:5" x14ac:dyDescent="0.2">
      <c r="A750">
        <v>749</v>
      </c>
      <c r="B750" s="1">
        <v>5189.8600770218227</v>
      </c>
      <c r="C750" s="1">
        <v>636.43132220795894</v>
      </c>
      <c r="D750">
        <f>ROUND(store_performance[[#This Row],[AverageSales]]/store_performance[[#This Row],[AverageCustomers]],2)</f>
        <v>8.15</v>
      </c>
      <c r="E750" t="str">
        <f>_xlfn.XLOOKUP(store_performance[[#This Row],[Store]],store_clean[Store],store_clean[StoreType],"Not Found")</f>
        <v>a</v>
      </c>
    </row>
    <row r="751" spans="1:5" x14ac:dyDescent="0.2">
      <c r="A751">
        <v>750</v>
      </c>
      <c r="B751" s="1">
        <v>4997.3520900321546</v>
      </c>
      <c r="C751" s="1">
        <v>402.8022508038585</v>
      </c>
      <c r="D751">
        <f>ROUND(store_performance[[#This Row],[AverageSales]]/store_performance[[#This Row],[AverageCustomers]],2)</f>
        <v>12.41</v>
      </c>
      <c r="E751" t="str">
        <f>_xlfn.XLOOKUP(store_performance[[#This Row],[Store]],store_clean[Store],store_clean[StoreType],"Not Found")</f>
        <v>d</v>
      </c>
    </row>
    <row r="752" spans="1:5" x14ac:dyDescent="0.2">
      <c r="A752">
        <v>751</v>
      </c>
      <c r="B752" s="1">
        <v>4216.2156611039791</v>
      </c>
      <c r="C752" s="1">
        <v>573.74326059050065</v>
      </c>
      <c r="D752">
        <f>ROUND(store_performance[[#This Row],[AverageSales]]/store_performance[[#This Row],[AverageCustomers]],2)</f>
        <v>7.35</v>
      </c>
      <c r="E752" t="str">
        <f>_xlfn.XLOOKUP(store_performance[[#This Row],[Store]],store_clean[Store],store_clean[StoreType],"Not Found")</f>
        <v>a</v>
      </c>
    </row>
    <row r="753" spans="1:5" x14ac:dyDescent="0.2">
      <c r="A753">
        <v>752</v>
      </c>
      <c r="B753" s="1">
        <v>5251.6598202824134</v>
      </c>
      <c r="C753" s="1">
        <v>459.39922978177151</v>
      </c>
      <c r="D753">
        <f>ROUND(store_performance[[#This Row],[AverageSales]]/store_performance[[#This Row],[AverageCustomers]],2)</f>
        <v>11.43</v>
      </c>
      <c r="E753" t="str">
        <f>_xlfn.XLOOKUP(store_performance[[#This Row],[Store]],store_clean[Store],store_clean[StoreType],"Not Found")</f>
        <v>a</v>
      </c>
    </row>
    <row r="754" spans="1:5" x14ac:dyDescent="0.2">
      <c r="A754">
        <v>753</v>
      </c>
      <c r="B754" s="1">
        <v>8710.2798459563546</v>
      </c>
      <c r="C754" s="1">
        <v>764.31578947368416</v>
      </c>
      <c r="D754">
        <f>ROUND(store_performance[[#This Row],[AverageSales]]/store_performance[[#This Row],[AverageCustomers]],2)</f>
        <v>11.4</v>
      </c>
      <c r="E754" t="str">
        <f>_xlfn.XLOOKUP(store_performance[[#This Row],[Store]],store_clean[Store],store_clean[StoreType],"Not Found")</f>
        <v>d</v>
      </c>
    </row>
    <row r="755" spans="1:5" x14ac:dyDescent="0.2">
      <c r="A755">
        <v>754</v>
      </c>
      <c r="B755" s="1">
        <v>8086.957800511509</v>
      </c>
      <c r="C755" s="1">
        <v>965.55882352941171</v>
      </c>
      <c r="D755">
        <f>ROUND(store_performance[[#This Row],[AverageSales]]/store_performance[[#This Row],[AverageCustomers]],2)</f>
        <v>8.3800000000000008</v>
      </c>
      <c r="E755" t="str">
        <f>_xlfn.XLOOKUP(store_performance[[#This Row],[Store]],store_clean[Store],store_clean[StoreType],"Not Found")</f>
        <v>c</v>
      </c>
    </row>
    <row r="756" spans="1:5" x14ac:dyDescent="0.2">
      <c r="A756">
        <v>755</v>
      </c>
      <c r="B756" s="1">
        <v>10483.216389244559</v>
      </c>
      <c r="C756" s="1">
        <v>895.41997439180534</v>
      </c>
      <c r="D756">
        <f>ROUND(store_performance[[#This Row],[AverageSales]]/store_performance[[#This Row],[AverageCustomers]],2)</f>
        <v>11.71</v>
      </c>
      <c r="E756" t="str">
        <f>_xlfn.XLOOKUP(store_performance[[#This Row],[Store]],store_clean[Store],store_clean[StoreType],"Not Found")</f>
        <v>d</v>
      </c>
    </row>
    <row r="757" spans="1:5" x14ac:dyDescent="0.2">
      <c r="A757">
        <v>756</v>
      </c>
      <c r="B757" s="1">
        <v>16574.816431322208</v>
      </c>
      <c r="C757" s="1">
        <v>2346.5725288831836</v>
      </c>
      <c r="D757">
        <f>ROUND(store_performance[[#This Row],[AverageSales]]/store_performance[[#This Row],[AverageCustomers]],2)</f>
        <v>7.06</v>
      </c>
      <c r="E757" t="str">
        <f>_xlfn.XLOOKUP(store_performance[[#This Row],[Store]],store_clean[Store],store_clean[StoreType],"Not Found")</f>
        <v>a</v>
      </c>
    </row>
    <row r="758" spans="1:5" x14ac:dyDescent="0.2">
      <c r="A758">
        <v>757</v>
      </c>
      <c r="B758" s="1">
        <v>6219.7876447876451</v>
      </c>
      <c r="C758" s="1">
        <v>535.85585585585591</v>
      </c>
      <c r="D758">
        <f>ROUND(store_performance[[#This Row],[AverageSales]]/store_performance[[#This Row],[AverageCustomers]],2)</f>
        <v>11.61</v>
      </c>
      <c r="E758" t="str">
        <f>_xlfn.XLOOKUP(store_performance[[#This Row],[Store]],store_clean[Store],store_clean[StoreType],"Not Found")</f>
        <v>a</v>
      </c>
    </row>
    <row r="759" spans="1:5" x14ac:dyDescent="0.2">
      <c r="A759">
        <v>758</v>
      </c>
      <c r="B759" s="1">
        <v>4868.3669250645999</v>
      </c>
      <c r="C759" s="1">
        <v>636.81524547803622</v>
      </c>
      <c r="D759">
        <f>ROUND(store_performance[[#This Row],[AverageSales]]/store_performance[[#This Row],[AverageCustomers]],2)</f>
        <v>7.64</v>
      </c>
      <c r="E759" t="str">
        <f>_xlfn.XLOOKUP(store_performance[[#This Row],[Store]],store_clean[Store],store_clean[StoreType],"Not Found")</f>
        <v>a</v>
      </c>
    </row>
    <row r="760" spans="1:5" x14ac:dyDescent="0.2">
      <c r="A760">
        <v>759</v>
      </c>
      <c r="B760" s="1">
        <v>7010.1373555840819</v>
      </c>
      <c r="C760" s="1">
        <v>774.44801026957634</v>
      </c>
      <c r="D760">
        <f>ROUND(store_performance[[#This Row],[AverageSales]]/store_performance[[#This Row],[AverageCustomers]],2)</f>
        <v>9.0500000000000007</v>
      </c>
      <c r="E760" t="str">
        <f>_xlfn.XLOOKUP(store_performance[[#This Row],[Store]],store_clean[Store],store_clean[StoreType],"Not Found")</f>
        <v>a</v>
      </c>
    </row>
    <row r="761" spans="1:5" x14ac:dyDescent="0.2">
      <c r="A761">
        <v>760</v>
      </c>
      <c r="B761" s="1">
        <v>7638.3642213642215</v>
      </c>
      <c r="C761" s="1">
        <v>1227.2458172458173</v>
      </c>
      <c r="D761">
        <f>ROUND(store_performance[[#This Row],[AverageSales]]/store_performance[[#This Row],[AverageCustomers]],2)</f>
        <v>6.22</v>
      </c>
      <c r="E761" t="str">
        <f>_xlfn.XLOOKUP(store_performance[[#This Row],[Store]],store_clean[Store],store_clean[StoreType],"Not Found")</f>
        <v>a</v>
      </c>
    </row>
    <row r="762" spans="1:5" x14ac:dyDescent="0.2">
      <c r="A762">
        <v>761</v>
      </c>
      <c r="B762" s="1">
        <v>8729.4783163265311</v>
      </c>
      <c r="C762" s="1">
        <v>994.94642857142856</v>
      </c>
      <c r="D762">
        <f>ROUND(store_performance[[#This Row],[AverageSales]]/store_performance[[#This Row],[AverageCustomers]],2)</f>
        <v>8.77</v>
      </c>
      <c r="E762" t="str">
        <f>_xlfn.XLOOKUP(store_performance[[#This Row],[Store]],store_clean[Store],store_clean[StoreType],"Not Found")</f>
        <v>a</v>
      </c>
    </row>
    <row r="763" spans="1:5" x14ac:dyDescent="0.2">
      <c r="A763">
        <v>762</v>
      </c>
      <c r="B763" s="1">
        <v>3886.8899082568805</v>
      </c>
      <c r="C763" s="1">
        <v>389.63564875491483</v>
      </c>
      <c r="D763">
        <f>ROUND(store_performance[[#This Row],[AverageSales]]/store_performance[[#This Row],[AverageCustomers]],2)</f>
        <v>9.98</v>
      </c>
      <c r="E763" t="str">
        <f>_xlfn.XLOOKUP(store_performance[[#This Row],[Store]],store_clean[Store],store_clean[StoreType],"Not Found")</f>
        <v>d</v>
      </c>
    </row>
    <row r="764" spans="1:5" x14ac:dyDescent="0.2">
      <c r="A764">
        <v>763</v>
      </c>
      <c r="B764" s="1">
        <v>6125.2512755102043</v>
      </c>
      <c r="C764" s="1">
        <v>586.27551020408168</v>
      </c>
      <c r="D764">
        <f>ROUND(store_performance[[#This Row],[AverageSales]]/store_performance[[#This Row],[AverageCustomers]],2)</f>
        <v>10.45</v>
      </c>
      <c r="E764" t="str">
        <f>_xlfn.XLOOKUP(store_performance[[#This Row],[Store]],store_clean[Store],store_clean[StoreType],"Not Found")</f>
        <v>d</v>
      </c>
    </row>
    <row r="765" spans="1:5" x14ac:dyDescent="0.2">
      <c r="A765">
        <v>764</v>
      </c>
      <c r="B765" s="1">
        <v>3538.9882659713167</v>
      </c>
      <c r="C765" s="1">
        <v>396.26857887874837</v>
      </c>
      <c r="D765">
        <f>ROUND(store_performance[[#This Row],[AverageSales]]/store_performance[[#This Row],[AverageCustomers]],2)</f>
        <v>8.93</v>
      </c>
      <c r="E765" t="str">
        <f>_xlfn.XLOOKUP(store_performance[[#This Row],[Store]],store_clean[Store],store_clean[StoreType],"Not Found")</f>
        <v>a</v>
      </c>
    </row>
    <row r="766" spans="1:5" x14ac:dyDescent="0.2">
      <c r="A766">
        <v>765</v>
      </c>
      <c r="B766" s="1">
        <v>8506.867438867439</v>
      </c>
      <c r="C766" s="1">
        <v>710.71428571428567</v>
      </c>
      <c r="D766">
        <f>ROUND(store_performance[[#This Row],[AverageSales]]/store_performance[[#This Row],[AverageCustomers]],2)</f>
        <v>11.97</v>
      </c>
      <c r="E766" t="str">
        <f>_xlfn.XLOOKUP(store_performance[[#This Row],[Store]],store_clean[Store],store_clean[StoreType],"Not Found")</f>
        <v>a</v>
      </c>
    </row>
    <row r="767" spans="1:5" x14ac:dyDescent="0.2">
      <c r="A767">
        <v>766</v>
      </c>
      <c r="B767" s="1">
        <v>6123.9437299035371</v>
      </c>
      <c r="C767" s="1">
        <v>529.70257234726694</v>
      </c>
      <c r="D767">
        <f>ROUND(store_performance[[#This Row],[AverageSales]]/store_performance[[#This Row],[AverageCustomers]],2)</f>
        <v>11.56</v>
      </c>
      <c r="E767" t="str">
        <f>_xlfn.XLOOKUP(store_performance[[#This Row],[Store]],store_clean[Store],store_clean[StoreType],"Not Found")</f>
        <v>d</v>
      </c>
    </row>
    <row r="768" spans="1:5" x14ac:dyDescent="0.2">
      <c r="A768">
        <v>767</v>
      </c>
      <c r="B768" s="1">
        <v>6023.4030612244896</v>
      </c>
      <c r="C768" s="1">
        <v>615.29719387755097</v>
      </c>
      <c r="D768">
        <f>ROUND(store_performance[[#This Row],[AverageSales]]/store_performance[[#This Row],[AverageCustomers]],2)</f>
        <v>9.7899999999999991</v>
      </c>
      <c r="E768" t="str">
        <f>_xlfn.XLOOKUP(store_performance[[#This Row],[Store]],store_clean[Store],store_clean[StoreType],"Not Found")</f>
        <v>a</v>
      </c>
    </row>
    <row r="769" spans="1:5" x14ac:dyDescent="0.2">
      <c r="A769">
        <v>768</v>
      </c>
      <c r="B769" s="1">
        <v>12991.838010204081</v>
      </c>
      <c r="C769" s="1">
        <v>1345.4426020408164</v>
      </c>
      <c r="D769">
        <f>ROUND(store_performance[[#This Row],[AverageSales]]/store_performance[[#This Row],[AverageCustomers]],2)</f>
        <v>9.66</v>
      </c>
      <c r="E769" t="str">
        <f>_xlfn.XLOOKUP(store_performance[[#This Row],[Store]],store_clean[Store],store_clean[StoreType],"Not Found")</f>
        <v>a</v>
      </c>
    </row>
    <row r="770" spans="1:5" x14ac:dyDescent="0.2">
      <c r="A770">
        <v>769</v>
      </c>
      <c r="B770" s="1">
        <v>10825.902335456476</v>
      </c>
      <c r="C770" s="1">
        <v>3081.0520169851379</v>
      </c>
      <c r="D770">
        <f>ROUND(store_performance[[#This Row],[AverageSales]]/store_performance[[#This Row],[AverageCustomers]],2)</f>
        <v>3.51</v>
      </c>
      <c r="E770" t="str">
        <f>_xlfn.XLOOKUP(store_performance[[#This Row],[Store]],store_clean[Store],store_clean[StoreType],"Not Found")</f>
        <v>b</v>
      </c>
    </row>
    <row r="771" spans="1:5" x14ac:dyDescent="0.2">
      <c r="A771">
        <v>770</v>
      </c>
      <c r="B771" s="1">
        <v>6477.7881899871627</v>
      </c>
      <c r="C771" s="1">
        <v>733.2605905006418</v>
      </c>
      <c r="D771">
        <f>ROUND(store_performance[[#This Row],[AverageSales]]/store_performance[[#This Row],[AverageCustomers]],2)</f>
        <v>8.83</v>
      </c>
      <c r="E771" t="str">
        <f>_xlfn.XLOOKUP(store_performance[[#This Row],[Store]],store_clean[Store],store_clean[StoreType],"Not Found")</f>
        <v>a</v>
      </c>
    </row>
    <row r="772" spans="1:5" x14ac:dyDescent="0.2">
      <c r="A772">
        <v>771</v>
      </c>
      <c r="B772" s="1">
        <v>6722.0112540192922</v>
      </c>
      <c r="C772" s="1">
        <v>689.02250803858522</v>
      </c>
      <c r="D772">
        <f>ROUND(store_performance[[#This Row],[AverageSales]]/store_performance[[#This Row],[AverageCustomers]],2)</f>
        <v>9.76</v>
      </c>
      <c r="E772" t="str">
        <f>_xlfn.XLOOKUP(store_performance[[#This Row],[Store]],store_clean[Store],store_clean[StoreType],"Not Found")</f>
        <v>a</v>
      </c>
    </row>
    <row r="773" spans="1:5" x14ac:dyDescent="0.2">
      <c r="A773">
        <v>772</v>
      </c>
      <c r="B773" s="1">
        <v>3582.1992337164752</v>
      </c>
      <c r="C773" s="1">
        <v>488.13537675606642</v>
      </c>
      <c r="D773">
        <f>ROUND(store_performance[[#This Row],[AverageSales]]/store_performance[[#This Row],[AverageCustomers]],2)</f>
        <v>7.34</v>
      </c>
      <c r="E773" t="str">
        <f>_xlfn.XLOOKUP(store_performance[[#This Row],[Store]],store_clean[Store],store_clean[StoreType],"Not Found")</f>
        <v>d</v>
      </c>
    </row>
    <row r="774" spans="1:5" x14ac:dyDescent="0.2">
      <c r="A774">
        <v>773</v>
      </c>
      <c r="B774" s="1">
        <v>5716.1088348271451</v>
      </c>
      <c r="C774" s="1">
        <v>791.85531370038416</v>
      </c>
      <c r="D774">
        <f>ROUND(store_performance[[#This Row],[AverageSales]]/store_performance[[#This Row],[AverageCustomers]],2)</f>
        <v>7.22</v>
      </c>
      <c r="E774" t="str">
        <f>_xlfn.XLOOKUP(store_performance[[#This Row],[Store]],store_clean[Store],store_clean[StoreType],"Not Found")</f>
        <v>a</v>
      </c>
    </row>
    <row r="775" spans="1:5" x14ac:dyDescent="0.2">
      <c r="A775">
        <v>774</v>
      </c>
      <c r="B775" s="1">
        <v>5493.7436224489793</v>
      </c>
      <c r="C775" s="1">
        <v>713.4158163265306</v>
      </c>
      <c r="D775">
        <f>ROUND(store_performance[[#This Row],[AverageSales]]/store_performance[[#This Row],[AverageCustomers]],2)</f>
        <v>7.7</v>
      </c>
      <c r="E775" t="str">
        <f>_xlfn.XLOOKUP(store_performance[[#This Row],[Store]],store_clean[Store],store_clean[StoreType],"Not Found")</f>
        <v>a</v>
      </c>
    </row>
    <row r="776" spans="1:5" x14ac:dyDescent="0.2">
      <c r="A776">
        <v>775</v>
      </c>
      <c r="B776" s="1">
        <v>8690.8890675241164</v>
      </c>
      <c r="C776" s="1">
        <v>621.09485530546624</v>
      </c>
      <c r="D776">
        <f>ROUND(store_performance[[#This Row],[AverageSales]]/store_performance[[#This Row],[AverageCustomers]],2)</f>
        <v>13.99</v>
      </c>
      <c r="E776" t="str">
        <f>_xlfn.XLOOKUP(store_performance[[#This Row],[Store]],store_clean[Store],store_clean[StoreType],"Not Found")</f>
        <v>d</v>
      </c>
    </row>
    <row r="777" spans="1:5" x14ac:dyDescent="0.2">
      <c r="A777">
        <v>776</v>
      </c>
      <c r="B777" s="1">
        <v>4804.8067010309278</v>
      </c>
      <c r="C777" s="1">
        <v>534.5682989690722</v>
      </c>
      <c r="D777">
        <f>ROUND(store_performance[[#This Row],[AverageSales]]/store_performance[[#This Row],[AverageCustomers]],2)</f>
        <v>8.99</v>
      </c>
      <c r="E777" t="str">
        <f>_xlfn.XLOOKUP(store_performance[[#This Row],[Store]],store_clean[Store],store_clean[StoreType],"Not Found")</f>
        <v>c</v>
      </c>
    </row>
    <row r="778" spans="1:5" x14ac:dyDescent="0.2">
      <c r="A778">
        <v>777</v>
      </c>
      <c r="B778" s="1">
        <v>3991.3504492939664</v>
      </c>
      <c r="C778" s="1">
        <v>350.51091142490372</v>
      </c>
      <c r="D778">
        <f>ROUND(store_performance[[#This Row],[AverageSales]]/store_performance[[#This Row],[AverageCustomers]],2)</f>
        <v>11.39</v>
      </c>
      <c r="E778" t="str">
        <f>_xlfn.XLOOKUP(store_performance[[#This Row],[Store]],store_clean[Store],store_clean[StoreType],"Not Found")</f>
        <v>d</v>
      </c>
    </row>
    <row r="779" spans="1:5" x14ac:dyDescent="0.2">
      <c r="A779">
        <v>778</v>
      </c>
      <c r="B779" s="1">
        <v>5901.2572347266878</v>
      </c>
      <c r="C779" s="1">
        <v>800.49196141479104</v>
      </c>
      <c r="D779">
        <f>ROUND(store_performance[[#This Row],[AverageSales]]/store_performance[[#This Row],[AverageCustomers]],2)</f>
        <v>7.37</v>
      </c>
      <c r="E779" t="str">
        <f>_xlfn.XLOOKUP(store_performance[[#This Row],[Store]],store_clean[Store],store_clean[StoreType],"Not Found")</f>
        <v>a</v>
      </c>
    </row>
    <row r="780" spans="1:5" x14ac:dyDescent="0.2">
      <c r="A780">
        <v>779</v>
      </c>
      <c r="B780" s="1">
        <v>7128.5217948717946</v>
      </c>
      <c r="C780" s="1">
        <v>700.08333333333337</v>
      </c>
      <c r="D780">
        <f>ROUND(store_performance[[#This Row],[AverageSales]]/store_performance[[#This Row],[AverageCustomers]],2)</f>
        <v>10.18</v>
      </c>
      <c r="E780" t="str">
        <f>_xlfn.XLOOKUP(store_performance[[#This Row],[Store]],store_clean[Store],store_clean[StoreType],"Not Found")</f>
        <v>a</v>
      </c>
    </row>
    <row r="781" spans="1:5" x14ac:dyDescent="0.2">
      <c r="A781">
        <v>780</v>
      </c>
      <c r="B781" s="1">
        <v>6547.1884615384615</v>
      </c>
      <c r="C781" s="1">
        <v>788.99487179487176</v>
      </c>
      <c r="D781">
        <f>ROUND(store_performance[[#This Row],[AverageSales]]/store_performance[[#This Row],[AverageCustomers]],2)</f>
        <v>8.3000000000000007</v>
      </c>
      <c r="E781" t="str">
        <f>_xlfn.XLOOKUP(store_performance[[#This Row],[Store]],store_clean[Store],store_clean[StoreType],"Not Found")</f>
        <v>a</v>
      </c>
    </row>
    <row r="782" spans="1:5" x14ac:dyDescent="0.2">
      <c r="A782">
        <v>781</v>
      </c>
      <c r="B782" s="1">
        <v>4922.4423076923076</v>
      </c>
      <c r="C782" s="1">
        <v>672.95897435897439</v>
      </c>
      <c r="D782">
        <f>ROUND(store_performance[[#This Row],[AverageSales]]/store_performance[[#This Row],[AverageCustomers]],2)</f>
        <v>7.31</v>
      </c>
      <c r="E782" t="str">
        <f>_xlfn.XLOOKUP(store_performance[[#This Row],[Store]],store_clean[Store],store_clean[StoreType],"Not Found")</f>
        <v>a</v>
      </c>
    </row>
    <row r="783" spans="1:5" x14ac:dyDescent="0.2">
      <c r="A783">
        <v>782</v>
      </c>
      <c r="B783" s="1">
        <v>5488.7997432605907</v>
      </c>
      <c r="C783" s="1">
        <v>513.21309370988445</v>
      </c>
      <c r="D783">
        <f>ROUND(store_performance[[#This Row],[AverageSales]]/store_performance[[#This Row],[AverageCustomers]],2)</f>
        <v>10.69</v>
      </c>
      <c r="E783" t="str">
        <f>_xlfn.XLOOKUP(store_performance[[#This Row],[Store]],store_clean[Store],store_clean[StoreType],"Not Found")</f>
        <v>c</v>
      </c>
    </row>
    <row r="784" spans="1:5" x14ac:dyDescent="0.2">
      <c r="A784">
        <v>783</v>
      </c>
      <c r="B784" s="1">
        <v>6860.1854219948846</v>
      </c>
      <c r="C784" s="1">
        <v>678.6675191815857</v>
      </c>
      <c r="D784">
        <f>ROUND(store_performance[[#This Row],[AverageSales]]/store_performance[[#This Row],[AverageCustomers]],2)</f>
        <v>10.11</v>
      </c>
      <c r="E784" t="str">
        <f>_xlfn.XLOOKUP(store_performance[[#This Row],[Store]],store_clean[Store],store_clean[StoreType],"Not Found")</f>
        <v>d</v>
      </c>
    </row>
    <row r="785" spans="1:5" x14ac:dyDescent="0.2">
      <c r="A785">
        <v>784</v>
      </c>
      <c r="B785" s="1">
        <v>7751.309370988447</v>
      </c>
      <c r="C785" s="1">
        <v>825.16688061617458</v>
      </c>
      <c r="D785">
        <f>ROUND(store_performance[[#This Row],[AverageSales]]/store_performance[[#This Row],[AverageCustomers]],2)</f>
        <v>9.39</v>
      </c>
      <c r="E785" t="str">
        <f>_xlfn.XLOOKUP(store_performance[[#This Row],[Store]],store_clean[Store],store_clean[StoreType],"Not Found")</f>
        <v>a</v>
      </c>
    </row>
    <row r="786" spans="1:5" x14ac:dyDescent="0.2">
      <c r="A786">
        <v>785</v>
      </c>
      <c r="B786" s="1">
        <v>6511.5186136071889</v>
      </c>
      <c r="C786" s="1">
        <v>561.39152759948649</v>
      </c>
      <c r="D786">
        <f>ROUND(store_performance[[#This Row],[AverageSales]]/store_performance[[#This Row],[AverageCustomers]],2)</f>
        <v>11.6</v>
      </c>
      <c r="E786" t="str">
        <f>_xlfn.XLOOKUP(store_performance[[#This Row],[Store]],store_clean[Store],store_clean[StoreType],"Not Found")</f>
        <v>d</v>
      </c>
    </row>
    <row r="787" spans="1:5" x14ac:dyDescent="0.2">
      <c r="A787">
        <v>786</v>
      </c>
      <c r="B787" s="1">
        <v>3563.6743589743592</v>
      </c>
      <c r="C787" s="1">
        <v>553.02051282051286</v>
      </c>
      <c r="D787">
        <f>ROUND(store_performance[[#This Row],[AverageSales]]/store_performance[[#This Row],[AverageCustomers]],2)</f>
        <v>6.44</v>
      </c>
      <c r="E787" t="str">
        <f>_xlfn.XLOOKUP(store_performance[[#This Row],[Store]],store_clean[Store],store_clean[StoreType],"Not Found")</f>
        <v>a</v>
      </c>
    </row>
    <row r="788" spans="1:5" x14ac:dyDescent="0.2">
      <c r="A788">
        <v>787</v>
      </c>
      <c r="B788" s="1">
        <v>10227.147435897436</v>
      </c>
      <c r="C788" s="1">
        <v>1141.9679487179487</v>
      </c>
      <c r="D788">
        <f>ROUND(store_performance[[#This Row],[AverageSales]]/store_performance[[#This Row],[AverageCustomers]],2)</f>
        <v>8.9600000000000009</v>
      </c>
      <c r="E788" t="str">
        <f>_xlfn.XLOOKUP(store_performance[[#This Row],[Store]],store_clean[Store],store_clean[StoreType],"Not Found")</f>
        <v>c</v>
      </c>
    </row>
    <row r="789" spans="1:5" x14ac:dyDescent="0.2">
      <c r="A789">
        <v>788</v>
      </c>
      <c r="B789" s="1">
        <v>17961.914540816328</v>
      </c>
      <c r="C789" s="1">
        <v>1717.9017857142858</v>
      </c>
      <c r="D789">
        <f>ROUND(store_performance[[#This Row],[AverageSales]]/store_performance[[#This Row],[AverageCustomers]],2)</f>
        <v>10.46</v>
      </c>
      <c r="E789" t="str">
        <f>_xlfn.XLOOKUP(store_performance[[#This Row],[Store]],store_clean[Store],store_clean[StoreType],"Not Found")</f>
        <v>a</v>
      </c>
    </row>
    <row r="790" spans="1:5" x14ac:dyDescent="0.2">
      <c r="A790">
        <v>789</v>
      </c>
      <c r="B790" s="1">
        <v>3380.0115830115828</v>
      </c>
      <c r="C790" s="1">
        <v>469.20978120978123</v>
      </c>
      <c r="D790">
        <f>ROUND(store_performance[[#This Row],[AverageSales]]/store_performance[[#This Row],[AverageCustomers]],2)</f>
        <v>7.2</v>
      </c>
      <c r="E790" t="str">
        <f>_xlfn.XLOOKUP(store_performance[[#This Row],[Store]],store_clean[Store],store_clean[StoreType],"Not Found")</f>
        <v>a</v>
      </c>
    </row>
    <row r="791" spans="1:5" x14ac:dyDescent="0.2">
      <c r="A791">
        <v>790</v>
      </c>
      <c r="B791" s="1">
        <v>7453.0217669654294</v>
      </c>
      <c r="C791" s="1">
        <v>682.35979513444306</v>
      </c>
      <c r="D791">
        <f>ROUND(store_performance[[#This Row],[AverageSales]]/store_performance[[#This Row],[AverageCustomers]],2)</f>
        <v>10.92</v>
      </c>
      <c r="E791" t="str">
        <f>_xlfn.XLOOKUP(store_performance[[#This Row],[Store]],store_clean[Store],store_clean[StoreType],"Not Found")</f>
        <v>d</v>
      </c>
    </row>
    <row r="792" spans="1:5" x14ac:dyDescent="0.2">
      <c r="A792">
        <v>791</v>
      </c>
      <c r="B792" s="1">
        <v>7668.7766367137356</v>
      </c>
      <c r="C792" s="1">
        <v>810.39922978177151</v>
      </c>
      <c r="D792">
        <f>ROUND(store_performance[[#This Row],[AverageSales]]/store_performance[[#This Row],[AverageCustomers]],2)</f>
        <v>9.4600000000000009</v>
      </c>
      <c r="E792" t="str">
        <f>_xlfn.XLOOKUP(store_performance[[#This Row],[Store]],store_clean[Store],store_clean[StoreType],"Not Found")</f>
        <v>a</v>
      </c>
    </row>
    <row r="793" spans="1:5" x14ac:dyDescent="0.2">
      <c r="A793">
        <v>792</v>
      </c>
      <c r="B793" s="1">
        <v>7389.3735558408216</v>
      </c>
      <c r="C793" s="1">
        <v>691.72657252888314</v>
      </c>
      <c r="D793">
        <f>ROUND(store_performance[[#This Row],[AverageSales]]/store_performance[[#This Row],[AverageCustomers]],2)</f>
        <v>10.68</v>
      </c>
      <c r="E793" t="str">
        <f>_xlfn.XLOOKUP(store_performance[[#This Row],[Store]],store_clean[Store],store_clean[StoreType],"Not Found")</f>
        <v>d</v>
      </c>
    </row>
    <row r="794" spans="1:5" x14ac:dyDescent="0.2">
      <c r="A794">
        <v>793</v>
      </c>
      <c r="B794" s="1">
        <v>4832.1219512195121</v>
      </c>
      <c r="C794" s="1">
        <v>457.85879332477538</v>
      </c>
      <c r="D794">
        <f>ROUND(store_performance[[#This Row],[AverageSales]]/store_performance[[#This Row],[AverageCustomers]],2)</f>
        <v>10.55</v>
      </c>
      <c r="E794" t="str">
        <f>_xlfn.XLOOKUP(store_performance[[#This Row],[Store]],store_clean[Store],store_clean[StoreType],"Not Found")</f>
        <v>d</v>
      </c>
    </row>
    <row r="795" spans="1:5" x14ac:dyDescent="0.2">
      <c r="A795">
        <v>794</v>
      </c>
      <c r="B795" s="1">
        <v>3083.8128205128205</v>
      </c>
      <c r="C795" s="1">
        <v>521.82948717948716</v>
      </c>
      <c r="D795">
        <f>ROUND(store_performance[[#This Row],[AverageSales]]/store_performance[[#This Row],[AverageCustomers]],2)</f>
        <v>5.91</v>
      </c>
      <c r="E795" t="str">
        <f>_xlfn.XLOOKUP(store_performance[[#This Row],[Store]],store_clean[Store],store_clean[StoreType],"Not Found")</f>
        <v>c</v>
      </c>
    </row>
    <row r="796" spans="1:5" x14ac:dyDescent="0.2">
      <c r="A796">
        <v>795</v>
      </c>
      <c r="B796" s="1">
        <v>4553.673940949936</v>
      </c>
      <c r="C796" s="1">
        <v>467.29910141206676</v>
      </c>
      <c r="D796">
        <f>ROUND(store_performance[[#This Row],[AverageSales]]/store_performance[[#This Row],[AverageCustomers]],2)</f>
        <v>9.74</v>
      </c>
      <c r="E796" t="str">
        <f>_xlfn.XLOOKUP(store_performance[[#This Row],[Store]],store_clean[Store],store_clean[StoreType],"Not Found")</f>
        <v>d</v>
      </c>
    </row>
    <row r="797" spans="1:5" x14ac:dyDescent="0.2">
      <c r="A797">
        <v>796</v>
      </c>
      <c r="B797" s="1">
        <v>7244.7727856225929</v>
      </c>
      <c r="C797" s="1">
        <v>667.79717586649554</v>
      </c>
      <c r="D797">
        <f>ROUND(store_performance[[#This Row],[AverageSales]]/store_performance[[#This Row],[AverageCustomers]],2)</f>
        <v>10.85</v>
      </c>
      <c r="E797" t="str">
        <f>_xlfn.XLOOKUP(store_performance[[#This Row],[Store]],store_clean[Store],store_clean[StoreType],"Not Found")</f>
        <v>a</v>
      </c>
    </row>
    <row r="798" spans="1:5" x14ac:dyDescent="0.2">
      <c r="A798">
        <v>797</v>
      </c>
      <c r="B798" s="1">
        <v>4208.2315112540191</v>
      </c>
      <c r="C798" s="1">
        <v>414.49517684887462</v>
      </c>
      <c r="D798">
        <f>ROUND(store_performance[[#This Row],[AverageSales]]/store_performance[[#This Row],[AverageCustomers]],2)</f>
        <v>10.15</v>
      </c>
      <c r="E798" t="str">
        <f>_xlfn.XLOOKUP(store_performance[[#This Row],[Store]],store_clean[Store],store_clean[StoreType],"Not Found")</f>
        <v>a</v>
      </c>
    </row>
    <row r="799" spans="1:5" x14ac:dyDescent="0.2">
      <c r="A799">
        <v>798</v>
      </c>
      <c r="B799" s="1">
        <v>7468.2743589743586</v>
      </c>
      <c r="C799" s="1">
        <v>900.59102564102568</v>
      </c>
      <c r="D799">
        <f>ROUND(store_performance[[#This Row],[AverageSales]]/store_performance[[#This Row],[AverageCustomers]],2)</f>
        <v>8.2899999999999991</v>
      </c>
      <c r="E799" t="str">
        <f>_xlfn.XLOOKUP(store_performance[[#This Row],[Store]],store_clean[Store],store_clean[StoreType],"Not Found")</f>
        <v>a</v>
      </c>
    </row>
    <row r="800" spans="1:5" x14ac:dyDescent="0.2">
      <c r="A800">
        <v>799</v>
      </c>
      <c r="B800" s="1">
        <v>9894.9871630295256</v>
      </c>
      <c r="C800" s="1">
        <v>898.63157894736844</v>
      </c>
      <c r="D800">
        <f>ROUND(store_performance[[#This Row],[AverageSales]]/store_performance[[#This Row],[AverageCustomers]],2)</f>
        <v>11.01</v>
      </c>
      <c r="E800" t="str">
        <f>_xlfn.XLOOKUP(store_performance[[#This Row],[Store]],store_clean[Store],store_clean[StoreType],"Not Found")</f>
        <v>a</v>
      </c>
    </row>
    <row r="801" spans="1:5" x14ac:dyDescent="0.2">
      <c r="A801">
        <v>800</v>
      </c>
      <c r="B801" s="1">
        <v>5337.4326059050063</v>
      </c>
      <c r="C801" s="1">
        <v>499.31450577663674</v>
      </c>
      <c r="D801">
        <f>ROUND(store_performance[[#This Row],[AverageSales]]/store_performance[[#This Row],[AverageCustomers]],2)</f>
        <v>10.69</v>
      </c>
      <c r="E801" t="str">
        <f>_xlfn.XLOOKUP(store_performance[[#This Row],[Store]],store_clean[Store],store_clean[StoreType],"Not Found")</f>
        <v>d</v>
      </c>
    </row>
    <row r="802" spans="1:5" x14ac:dyDescent="0.2">
      <c r="A802">
        <v>801</v>
      </c>
      <c r="B802" s="1">
        <v>4845.2295918367345</v>
      </c>
      <c r="C802" s="1">
        <v>474.38137755102042</v>
      </c>
      <c r="D802">
        <f>ROUND(store_performance[[#This Row],[AverageSales]]/store_performance[[#This Row],[AverageCustomers]],2)</f>
        <v>10.210000000000001</v>
      </c>
      <c r="E802" t="str">
        <f>_xlfn.XLOOKUP(store_performance[[#This Row],[Store]],store_clean[Store],store_clean[StoreType],"Not Found")</f>
        <v>d</v>
      </c>
    </row>
    <row r="803" spans="1:5" x14ac:dyDescent="0.2">
      <c r="A803">
        <v>802</v>
      </c>
      <c r="B803" s="1">
        <v>6841.0752551020405</v>
      </c>
      <c r="C803" s="1">
        <v>522.99107142857144</v>
      </c>
      <c r="D803">
        <f>ROUND(store_performance[[#This Row],[AverageSales]]/store_performance[[#This Row],[AverageCustomers]],2)</f>
        <v>13.08</v>
      </c>
      <c r="E803" t="str">
        <f>_xlfn.XLOOKUP(store_performance[[#This Row],[Store]],store_clean[Store],store_clean[StoreType],"Not Found")</f>
        <v>a</v>
      </c>
    </row>
    <row r="804" spans="1:5" x14ac:dyDescent="0.2">
      <c r="A804">
        <v>803</v>
      </c>
      <c r="B804" s="1">
        <v>6047.6788036410926</v>
      </c>
      <c r="C804" s="1">
        <v>492.09492847854358</v>
      </c>
      <c r="D804">
        <f>ROUND(store_performance[[#This Row],[AverageSales]]/store_performance[[#This Row],[AverageCustomers]],2)</f>
        <v>12.29</v>
      </c>
      <c r="E804" t="str">
        <f>_xlfn.XLOOKUP(store_performance[[#This Row],[Store]],store_clean[Store],store_clean[StoreType],"Not Found")</f>
        <v>d</v>
      </c>
    </row>
    <row r="805" spans="1:5" x14ac:dyDescent="0.2">
      <c r="A805">
        <v>804</v>
      </c>
      <c r="B805" s="1">
        <v>4922.1864951768484</v>
      </c>
      <c r="C805" s="1">
        <v>440.39871382636653</v>
      </c>
      <c r="D805">
        <f>ROUND(store_performance[[#This Row],[AverageSales]]/store_performance[[#This Row],[AverageCustomers]],2)</f>
        <v>11.18</v>
      </c>
      <c r="E805" t="str">
        <f>_xlfn.XLOOKUP(store_performance[[#This Row],[Store]],store_clean[Store],store_clean[StoreType],"Not Found")</f>
        <v>c</v>
      </c>
    </row>
    <row r="806" spans="1:5" x14ac:dyDescent="0.2">
      <c r="A806">
        <v>805</v>
      </c>
      <c r="B806" s="1">
        <v>6084.2282958199357</v>
      </c>
      <c r="C806" s="1">
        <v>572.42926045016077</v>
      </c>
      <c r="D806">
        <f>ROUND(store_performance[[#This Row],[AverageSales]]/store_performance[[#This Row],[AverageCustomers]],2)</f>
        <v>10.63</v>
      </c>
      <c r="E806" t="str">
        <f>_xlfn.XLOOKUP(store_performance[[#This Row],[Store]],store_clean[Store],store_clean[StoreType],"Not Found")</f>
        <v>d</v>
      </c>
    </row>
    <row r="807" spans="1:5" x14ac:dyDescent="0.2">
      <c r="A807">
        <v>806</v>
      </c>
      <c r="B807" s="1">
        <v>6808.287781350482</v>
      </c>
      <c r="C807" s="1">
        <v>525.32315112540198</v>
      </c>
      <c r="D807">
        <f>ROUND(store_performance[[#This Row],[AverageSales]]/store_performance[[#This Row],[AverageCustomers]],2)</f>
        <v>12.96</v>
      </c>
      <c r="E807" t="str">
        <f>_xlfn.XLOOKUP(store_performance[[#This Row],[Store]],store_clean[Store],store_clean[StoreType],"Not Found")</f>
        <v>d</v>
      </c>
    </row>
    <row r="808" spans="1:5" x14ac:dyDescent="0.2">
      <c r="A808">
        <v>807</v>
      </c>
      <c r="B808" s="1">
        <v>9820.0422535211273</v>
      </c>
      <c r="C808" s="1">
        <v>982.11523687580029</v>
      </c>
      <c r="D808">
        <f>ROUND(store_performance[[#This Row],[AverageSales]]/store_performance[[#This Row],[AverageCustomers]],2)</f>
        <v>10</v>
      </c>
      <c r="E808" t="str">
        <f>_xlfn.XLOOKUP(store_performance[[#This Row],[Store]],store_clean[Store],store_clean[StoreType],"Not Found")</f>
        <v>a</v>
      </c>
    </row>
    <row r="809" spans="1:5" x14ac:dyDescent="0.2">
      <c r="A809">
        <v>808</v>
      </c>
      <c r="B809" s="1">
        <v>7291.1333333333332</v>
      </c>
      <c r="C809" s="1">
        <v>601.39102564102564</v>
      </c>
      <c r="D809">
        <f>ROUND(store_performance[[#This Row],[AverageSales]]/store_performance[[#This Row],[AverageCustomers]],2)</f>
        <v>12.12</v>
      </c>
      <c r="E809" t="str">
        <f>_xlfn.XLOOKUP(store_performance[[#This Row],[Store]],store_clean[Store],store_clean[StoreType],"Not Found")</f>
        <v>a</v>
      </c>
    </row>
    <row r="810" spans="1:5" x14ac:dyDescent="0.2">
      <c r="A810">
        <v>809</v>
      </c>
      <c r="B810" s="1">
        <v>9393.6148908857504</v>
      </c>
      <c r="C810" s="1">
        <v>802.21309370988445</v>
      </c>
      <c r="D810">
        <f>ROUND(store_performance[[#This Row],[AverageSales]]/store_performance[[#This Row],[AverageCustomers]],2)</f>
        <v>11.71</v>
      </c>
      <c r="E810" t="str">
        <f>_xlfn.XLOOKUP(store_performance[[#This Row],[Store]],store_clean[Store],store_clean[StoreType],"Not Found")</f>
        <v>a</v>
      </c>
    </row>
    <row r="811" spans="1:5" x14ac:dyDescent="0.2">
      <c r="A811">
        <v>810</v>
      </c>
      <c r="B811" s="1">
        <v>5930.4210526315792</v>
      </c>
      <c r="C811" s="1">
        <v>488.84082156611038</v>
      </c>
      <c r="D811">
        <f>ROUND(store_performance[[#This Row],[AverageSales]]/store_performance[[#This Row],[AverageCustomers]],2)</f>
        <v>12.13</v>
      </c>
      <c r="E811" t="str">
        <f>_xlfn.XLOOKUP(store_performance[[#This Row],[Store]],store_clean[Store],store_clean[StoreType],"Not Found")</f>
        <v>d</v>
      </c>
    </row>
    <row r="812" spans="1:5" x14ac:dyDescent="0.2">
      <c r="A812">
        <v>811</v>
      </c>
      <c r="B812" s="1">
        <v>4132.0382653061224</v>
      </c>
      <c r="C812" s="1">
        <v>682.7704081632653</v>
      </c>
      <c r="D812">
        <f>ROUND(store_performance[[#This Row],[AverageSales]]/store_performance[[#This Row],[AverageCustomers]],2)</f>
        <v>6.05</v>
      </c>
      <c r="E812" t="str">
        <f>_xlfn.XLOOKUP(store_performance[[#This Row],[Store]],store_clean[Store],store_clean[StoreType],"Not Found")</f>
        <v>a</v>
      </c>
    </row>
    <row r="813" spans="1:5" x14ac:dyDescent="0.2">
      <c r="A813">
        <v>812</v>
      </c>
      <c r="B813" s="1">
        <v>6366.7782051282047</v>
      </c>
      <c r="C813" s="1">
        <v>776.4487179487179</v>
      </c>
      <c r="D813">
        <f>ROUND(store_performance[[#This Row],[AverageSales]]/store_performance[[#This Row],[AverageCustomers]],2)</f>
        <v>8.1999999999999993</v>
      </c>
      <c r="E813" t="str">
        <f>_xlfn.XLOOKUP(store_performance[[#This Row],[Store]],store_clean[Store],store_clean[StoreType],"Not Found")</f>
        <v>d</v>
      </c>
    </row>
    <row r="814" spans="1:5" x14ac:dyDescent="0.2">
      <c r="A814">
        <v>813</v>
      </c>
      <c r="B814" s="1">
        <v>5810.7142857142853</v>
      </c>
      <c r="C814" s="1">
        <v>650.24066924066926</v>
      </c>
      <c r="D814">
        <f>ROUND(store_performance[[#This Row],[AverageSales]]/store_performance[[#This Row],[AverageCustomers]],2)</f>
        <v>8.94</v>
      </c>
      <c r="E814" t="str">
        <f>_xlfn.XLOOKUP(store_performance[[#This Row],[Store]],store_clean[Store],store_clean[StoreType],"Not Found")</f>
        <v>a</v>
      </c>
    </row>
    <row r="815" spans="1:5" x14ac:dyDescent="0.2">
      <c r="A815">
        <v>814</v>
      </c>
      <c r="B815" s="1">
        <v>8476.7634271099741</v>
      </c>
      <c r="C815" s="1">
        <v>695.26598465473148</v>
      </c>
      <c r="D815">
        <f>ROUND(store_performance[[#This Row],[AverageSales]]/store_performance[[#This Row],[AverageCustomers]],2)</f>
        <v>12.19</v>
      </c>
      <c r="E815" t="str">
        <f>_xlfn.XLOOKUP(store_performance[[#This Row],[Store]],store_clean[Store],store_clean[StoreType],"Not Found")</f>
        <v>d</v>
      </c>
    </row>
    <row r="816" spans="1:5" x14ac:dyDescent="0.2">
      <c r="A816">
        <v>815</v>
      </c>
      <c r="B816" s="1">
        <v>8395.837620578779</v>
      </c>
      <c r="C816" s="1">
        <v>815.43729903536973</v>
      </c>
      <c r="D816">
        <f>ROUND(store_performance[[#This Row],[AverageSales]]/store_performance[[#This Row],[AverageCustomers]],2)</f>
        <v>10.3</v>
      </c>
      <c r="E816" t="str">
        <f>_xlfn.XLOOKUP(store_performance[[#This Row],[Store]],store_clean[Store],store_clean[StoreType],"Not Found")</f>
        <v>a</v>
      </c>
    </row>
    <row r="817" spans="1:5" x14ac:dyDescent="0.2">
      <c r="A817">
        <v>816</v>
      </c>
      <c r="B817" s="1">
        <v>5133.0770218228499</v>
      </c>
      <c r="C817" s="1">
        <v>742.62644415917839</v>
      </c>
      <c r="D817">
        <f>ROUND(store_performance[[#This Row],[AverageSales]]/store_performance[[#This Row],[AverageCustomers]],2)</f>
        <v>6.91</v>
      </c>
      <c r="E817" t="str">
        <f>_xlfn.XLOOKUP(store_performance[[#This Row],[Store]],store_clean[Store],store_clean[StoreType],"Not Found")</f>
        <v>c</v>
      </c>
    </row>
    <row r="818" spans="1:5" x14ac:dyDescent="0.2">
      <c r="A818">
        <v>817</v>
      </c>
      <c r="B818" s="1">
        <v>21757.483418367348</v>
      </c>
      <c r="C818" s="1">
        <v>3130.5739795918366</v>
      </c>
      <c r="D818">
        <f>ROUND(store_performance[[#This Row],[AverageSales]]/store_performance[[#This Row],[AverageCustomers]],2)</f>
        <v>6.95</v>
      </c>
      <c r="E818" t="str">
        <f>_xlfn.XLOOKUP(store_performance[[#This Row],[Store]],store_clean[Store],store_clean[StoreType],"Not Found")</f>
        <v>a</v>
      </c>
    </row>
    <row r="819" spans="1:5" x14ac:dyDescent="0.2">
      <c r="A819">
        <v>818</v>
      </c>
      <c r="B819" s="1">
        <v>6110.5723431498081</v>
      </c>
      <c r="C819" s="1">
        <v>635.26376440460945</v>
      </c>
      <c r="D819">
        <f>ROUND(store_performance[[#This Row],[AverageSales]]/store_performance[[#This Row],[AverageCustomers]],2)</f>
        <v>9.6199999999999992</v>
      </c>
      <c r="E819" t="str">
        <f>_xlfn.XLOOKUP(store_performance[[#This Row],[Store]],store_clean[Store],store_clean[StoreType],"Not Found")</f>
        <v>d</v>
      </c>
    </row>
    <row r="820" spans="1:5" x14ac:dyDescent="0.2">
      <c r="A820">
        <v>819</v>
      </c>
      <c r="B820" s="1">
        <v>6091.1007653061224</v>
      </c>
      <c r="C820" s="1">
        <v>539.95408163265301</v>
      </c>
      <c r="D820">
        <f>ROUND(store_performance[[#This Row],[AverageSales]]/store_performance[[#This Row],[AverageCustomers]],2)</f>
        <v>11.28</v>
      </c>
      <c r="E820" t="str">
        <f>_xlfn.XLOOKUP(store_performance[[#This Row],[Store]],store_clean[Store],store_clean[StoreType],"Not Found")</f>
        <v>a</v>
      </c>
    </row>
    <row r="821" spans="1:5" x14ac:dyDescent="0.2">
      <c r="A821">
        <v>820</v>
      </c>
      <c r="B821" s="1">
        <v>12085.850482315112</v>
      </c>
      <c r="C821" s="1">
        <v>1089.5916398713825</v>
      </c>
      <c r="D821">
        <f>ROUND(store_performance[[#This Row],[AverageSales]]/store_performance[[#This Row],[AverageCustomers]],2)</f>
        <v>11.09</v>
      </c>
      <c r="E821" t="str">
        <f>_xlfn.XLOOKUP(store_performance[[#This Row],[Store]],store_clean[Store],store_clean[StoreType],"Not Found")</f>
        <v>a</v>
      </c>
    </row>
    <row r="822" spans="1:5" x14ac:dyDescent="0.2">
      <c r="A822">
        <v>821</v>
      </c>
      <c r="B822" s="1">
        <v>6937.4910714285716</v>
      </c>
      <c r="C822" s="1">
        <v>851.14285714285711</v>
      </c>
      <c r="D822">
        <f>ROUND(store_performance[[#This Row],[AverageSales]]/store_performance[[#This Row],[AverageCustomers]],2)</f>
        <v>8.15</v>
      </c>
      <c r="E822" t="str">
        <f>_xlfn.XLOOKUP(store_performance[[#This Row],[Store]],store_clean[Store],store_clean[StoreType],"Not Found")</f>
        <v>a</v>
      </c>
    </row>
    <row r="823" spans="1:5" x14ac:dyDescent="0.2">
      <c r="A823">
        <v>822</v>
      </c>
      <c r="B823" s="1">
        <v>7737.6645408163267</v>
      </c>
      <c r="C823" s="1">
        <v>636.68494897959181</v>
      </c>
      <c r="D823">
        <f>ROUND(store_performance[[#This Row],[AverageSales]]/store_performance[[#This Row],[AverageCustomers]],2)</f>
        <v>12.15</v>
      </c>
      <c r="E823" t="str">
        <f>_xlfn.XLOOKUP(store_performance[[#This Row],[Store]],store_clean[Store],store_clean[StoreType],"Not Found")</f>
        <v>a</v>
      </c>
    </row>
    <row r="824" spans="1:5" x14ac:dyDescent="0.2">
      <c r="A824">
        <v>823</v>
      </c>
      <c r="B824" s="1">
        <v>5802.3839285714284</v>
      </c>
      <c r="C824" s="1">
        <v>570.0012755102041</v>
      </c>
      <c r="D824">
        <f>ROUND(store_performance[[#This Row],[AverageSales]]/store_performance[[#This Row],[AverageCustomers]],2)</f>
        <v>10.18</v>
      </c>
      <c r="E824" t="str">
        <f>_xlfn.XLOOKUP(store_performance[[#This Row],[Store]],store_clean[Store],store_clean[StoreType],"Not Found")</f>
        <v>a</v>
      </c>
    </row>
    <row r="825" spans="1:5" x14ac:dyDescent="0.2">
      <c r="A825">
        <v>824</v>
      </c>
      <c r="B825" s="1">
        <v>6834.3125</v>
      </c>
      <c r="C825" s="1">
        <v>862.82397959183675</v>
      </c>
      <c r="D825">
        <f>ROUND(store_performance[[#This Row],[AverageSales]]/store_performance[[#This Row],[AverageCustomers]],2)</f>
        <v>7.92</v>
      </c>
      <c r="E825" t="str">
        <f>_xlfn.XLOOKUP(store_performance[[#This Row],[Store]],store_clean[Store],store_clean[StoreType],"Not Found")</f>
        <v>a</v>
      </c>
    </row>
    <row r="826" spans="1:5" x14ac:dyDescent="0.2">
      <c r="A826">
        <v>825</v>
      </c>
      <c r="B826" s="1">
        <v>4562.9212218649518</v>
      </c>
      <c r="C826" s="1">
        <v>537.05466237942119</v>
      </c>
      <c r="D826">
        <f>ROUND(store_performance[[#This Row],[AverageSales]]/store_performance[[#This Row],[AverageCustomers]],2)</f>
        <v>8.5</v>
      </c>
      <c r="E826" t="str">
        <f>_xlfn.XLOOKUP(store_performance[[#This Row],[Store]],store_clean[Store],store_clean[StoreType],"Not Found")</f>
        <v>a</v>
      </c>
    </row>
    <row r="827" spans="1:5" x14ac:dyDescent="0.2">
      <c r="A827">
        <v>826</v>
      </c>
      <c r="B827" s="1">
        <v>8839.1868556701029</v>
      </c>
      <c r="C827" s="1">
        <v>771.08634020618558</v>
      </c>
      <c r="D827">
        <f>ROUND(store_performance[[#This Row],[AverageSales]]/store_performance[[#This Row],[AverageCustomers]],2)</f>
        <v>11.46</v>
      </c>
      <c r="E827" t="str">
        <f>_xlfn.XLOOKUP(store_performance[[#This Row],[Store]],store_clean[Store],store_clean[StoreType],"Not Found")</f>
        <v>a</v>
      </c>
    </row>
    <row r="828" spans="1:5" x14ac:dyDescent="0.2">
      <c r="A828">
        <v>827</v>
      </c>
      <c r="B828" s="1">
        <v>12771.665389527458</v>
      </c>
      <c r="C828" s="1">
        <v>1663.4418901660281</v>
      </c>
      <c r="D828">
        <f>ROUND(store_performance[[#This Row],[AverageSales]]/store_performance[[#This Row],[AverageCustomers]],2)</f>
        <v>7.68</v>
      </c>
      <c r="E828" t="str">
        <f>_xlfn.XLOOKUP(store_performance[[#This Row],[Store]],store_clean[Store],store_clean[StoreType],"Not Found")</f>
        <v>a</v>
      </c>
    </row>
    <row r="829" spans="1:5" x14ac:dyDescent="0.2">
      <c r="A829">
        <v>828</v>
      </c>
      <c r="B829" s="1">
        <v>5199.9461538461537</v>
      </c>
      <c r="C829" s="1">
        <v>587.06538461538457</v>
      </c>
      <c r="D829">
        <f>ROUND(store_performance[[#This Row],[AverageSales]]/store_performance[[#This Row],[AverageCustomers]],2)</f>
        <v>8.86</v>
      </c>
      <c r="E829" t="str">
        <f>_xlfn.XLOOKUP(store_performance[[#This Row],[Store]],store_clean[Store],store_clean[StoreType],"Not Found")</f>
        <v>d</v>
      </c>
    </row>
    <row r="830" spans="1:5" x14ac:dyDescent="0.2">
      <c r="A830">
        <v>829</v>
      </c>
      <c r="B830" s="1">
        <v>5920.6696542893724</v>
      </c>
      <c r="C830" s="1">
        <v>790.92061459667093</v>
      </c>
      <c r="D830">
        <f>ROUND(store_performance[[#This Row],[AverageSales]]/store_performance[[#This Row],[AverageCustomers]],2)</f>
        <v>7.49</v>
      </c>
      <c r="E830" t="str">
        <f>_xlfn.XLOOKUP(store_performance[[#This Row],[Store]],store_clean[Store],store_clean[StoreType],"Not Found")</f>
        <v>c</v>
      </c>
    </row>
    <row r="831" spans="1:5" x14ac:dyDescent="0.2">
      <c r="A831">
        <v>830</v>
      </c>
      <c r="B831" s="1">
        <v>6174.8794871794871</v>
      </c>
      <c r="C831" s="1">
        <v>526.45897435897439</v>
      </c>
      <c r="D831">
        <f>ROUND(store_performance[[#This Row],[AverageSales]]/store_performance[[#This Row],[AverageCustomers]],2)</f>
        <v>11.73</v>
      </c>
      <c r="E831" t="str">
        <f>_xlfn.XLOOKUP(store_performance[[#This Row],[Store]],store_clean[Store],store_clean[StoreType],"Not Found")</f>
        <v>a</v>
      </c>
    </row>
    <row r="832" spans="1:5" x14ac:dyDescent="0.2">
      <c r="A832">
        <v>831</v>
      </c>
      <c r="B832" s="1">
        <v>12689.002567394095</v>
      </c>
      <c r="C832" s="1">
        <v>1576.961489088575</v>
      </c>
      <c r="D832">
        <f>ROUND(store_performance[[#This Row],[AverageSales]]/store_performance[[#This Row],[AverageCustomers]],2)</f>
        <v>8.0500000000000007</v>
      </c>
      <c r="E832" t="str">
        <f>_xlfn.XLOOKUP(store_performance[[#This Row],[Store]],store_clean[Store],store_clean[StoreType],"Not Found")</f>
        <v>a</v>
      </c>
    </row>
    <row r="833" spans="1:5" x14ac:dyDescent="0.2">
      <c r="A833">
        <v>832</v>
      </c>
      <c r="B833" s="1">
        <v>6550.293213828425</v>
      </c>
      <c r="C833" s="1">
        <v>554.44174135723426</v>
      </c>
      <c r="D833">
        <f>ROUND(store_performance[[#This Row],[AverageSales]]/store_performance[[#This Row],[AverageCustomers]],2)</f>
        <v>11.81</v>
      </c>
      <c r="E833" t="str">
        <f>_xlfn.XLOOKUP(store_performance[[#This Row],[Store]],store_clean[Store],store_clean[StoreType],"Not Found")</f>
        <v>d</v>
      </c>
    </row>
    <row r="834" spans="1:5" x14ac:dyDescent="0.2">
      <c r="A834">
        <v>833</v>
      </c>
      <c r="B834" s="1">
        <v>5511.3504492939664</v>
      </c>
      <c r="C834" s="1">
        <v>506.18228498074456</v>
      </c>
      <c r="D834">
        <f>ROUND(store_performance[[#This Row],[AverageSales]]/store_performance[[#This Row],[AverageCustomers]],2)</f>
        <v>10.89</v>
      </c>
      <c r="E834" t="str">
        <f>_xlfn.XLOOKUP(store_performance[[#This Row],[Store]],store_clean[Store],store_clean[StoreType],"Not Found")</f>
        <v>d</v>
      </c>
    </row>
    <row r="835" spans="1:5" x14ac:dyDescent="0.2">
      <c r="A835">
        <v>834</v>
      </c>
      <c r="B835" s="1">
        <v>5868.5420918367345</v>
      </c>
      <c r="C835" s="1">
        <v>639.4362244897959</v>
      </c>
      <c r="D835">
        <f>ROUND(store_performance[[#This Row],[AverageSales]]/store_performance[[#This Row],[AverageCustomers]],2)</f>
        <v>9.18</v>
      </c>
      <c r="E835" t="str">
        <f>_xlfn.XLOOKUP(store_performance[[#This Row],[Store]],store_clean[Store],store_clean[StoreType],"Not Found")</f>
        <v>a</v>
      </c>
    </row>
    <row r="836" spans="1:5" x14ac:dyDescent="0.2">
      <c r="A836">
        <v>835</v>
      </c>
      <c r="B836" s="1">
        <v>5174.6332899869958</v>
      </c>
      <c r="C836" s="1">
        <v>657.55396618985696</v>
      </c>
      <c r="D836">
        <f>ROUND(store_performance[[#This Row],[AverageSales]]/store_performance[[#This Row],[AverageCustomers]],2)</f>
        <v>7.87</v>
      </c>
      <c r="E836" t="str">
        <f>_xlfn.XLOOKUP(store_performance[[#This Row],[Store]],store_clean[Store],store_clean[StoreType],"Not Found")</f>
        <v>a</v>
      </c>
    </row>
    <row r="837" spans="1:5" x14ac:dyDescent="0.2">
      <c r="A837">
        <v>836</v>
      </c>
      <c r="B837" s="1">
        <v>5906.0025641025641</v>
      </c>
      <c r="C837" s="1">
        <v>711.46153846153845</v>
      </c>
      <c r="D837">
        <f>ROUND(store_performance[[#This Row],[AverageSales]]/store_performance[[#This Row],[AverageCustomers]],2)</f>
        <v>8.3000000000000007</v>
      </c>
      <c r="E837" t="str">
        <f>_xlfn.XLOOKUP(store_performance[[#This Row],[Store]],store_clean[Store],store_clean[StoreType],"Not Found")</f>
        <v>a</v>
      </c>
    </row>
    <row r="838" spans="1:5" x14ac:dyDescent="0.2">
      <c r="A838">
        <v>837</v>
      </c>
      <c r="B838" s="1">
        <v>3473.7217043941409</v>
      </c>
      <c r="C838" s="1">
        <v>460.1531291611185</v>
      </c>
      <c r="D838">
        <f>ROUND(store_performance[[#This Row],[AverageSales]]/store_performance[[#This Row],[AverageCustomers]],2)</f>
        <v>7.55</v>
      </c>
      <c r="E838" t="str">
        <f>_xlfn.XLOOKUP(store_performance[[#This Row],[Store]],store_clean[Store],store_clean[StoreType],"Not Found")</f>
        <v>a</v>
      </c>
    </row>
    <row r="839" spans="1:5" x14ac:dyDescent="0.2">
      <c r="A839">
        <v>838</v>
      </c>
      <c r="B839" s="1">
        <v>7987.2723785166245</v>
      </c>
      <c r="C839" s="1">
        <v>817.73145780051152</v>
      </c>
      <c r="D839">
        <f>ROUND(store_performance[[#This Row],[AverageSales]]/store_performance[[#This Row],[AverageCustomers]],2)</f>
        <v>9.77</v>
      </c>
      <c r="E839" t="str">
        <f>_xlfn.XLOOKUP(store_performance[[#This Row],[Store]],store_clean[Store],store_clean[StoreType],"Not Found")</f>
        <v>d</v>
      </c>
    </row>
    <row r="840" spans="1:5" x14ac:dyDescent="0.2">
      <c r="A840">
        <v>839</v>
      </c>
      <c r="B840" s="1">
        <v>5127.158163265306</v>
      </c>
      <c r="C840" s="1">
        <v>647.0625</v>
      </c>
      <c r="D840">
        <f>ROUND(store_performance[[#This Row],[AverageSales]]/store_performance[[#This Row],[AverageCustomers]],2)</f>
        <v>7.92</v>
      </c>
      <c r="E840" t="str">
        <f>_xlfn.XLOOKUP(store_performance[[#This Row],[Store]],store_clean[Store],store_clean[StoreType],"Not Found")</f>
        <v>c</v>
      </c>
    </row>
    <row r="841" spans="1:5" x14ac:dyDescent="0.2">
      <c r="A841">
        <v>840</v>
      </c>
      <c r="B841" s="1">
        <v>7319.0204081632655</v>
      </c>
      <c r="C841" s="1">
        <v>1055.8354591836735</v>
      </c>
      <c r="D841">
        <f>ROUND(store_performance[[#This Row],[AverageSales]]/store_performance[[#This Row],[AverageCustomers]],2)</f>
        <v>6.93</v>
      </c>
      <c r="E841" t="str">
        <f>_xlfn.XLOOKUP(store_performance[[#This Row],[Store]],store_clean[Store],store_clean[StoreType],"Not Found")</f>
        <v>a</v>
      </c>
    </row>
    <row r="842" spans="1:5" x14ac:dyDescent="0.2">
      <c r="A842">
        <v>841</v>
      </c>
      <c r="B842" s="1">
        <v>2972.6089743589741</v>
      </c>
      <c r="C842" s="1">
        <v>412.17307692307691</v>
      </c>
      <c r="D842">
        <f>ROUND(store_performance[[#This Row],[AverageSales]]/store_performance[[#This Row],[AverageCustomers]],2)</f>
        <v>7.21</v>
      </c>
      <c r="E842" t="str">
        <f>_xlfn.XLOOKUP(store_performance[[#This Row],[Store]],store_clean[Store],store_clean[StoreType],"Not Found")</f>
        <v>a</v>
      </c>
    </row>
    <row r="843" spans="1:5" x14ac:dyDescent="0.2">
      <c r="A843">
        <v>842</v>
      </c>
      <c r="B843" s="1">
        <v>18574.795819935691</v>
      </c>
      <c r="C843" s="1">
        <v>1149.242765273312</v>
      </c>
      <c r="D843">
        <f>ROUND(store_performance[[#This Row],[AverageSales]]/store_performance[[#This Row],[AverageCustomers]],2)</f>
        <v>16.16</v>
      </c>
      <c r="E843" t="str">
        <f>_xlfn.XLOOKUP(store_performance[[#This Row],[Store]],store_clean[Store],store_clean[StoreType],"Not Found")</f>
        <v>d</v>
      </c>
    </row>
    <row r="844" spans="1:5" x14ac:dyDescent="0.2">
      <c r="A844">
        <v>843</v>
      </c>
      <c r="B844" s="1">
        <v>9468.7066326530621</v>
      </c>
      <c r="C844" s="1">
        <v>1116.2448979591836</v>
      </c>
      <c r="D844">
        <f>ROUND(store_performance[[#This Row],[AverageSales]]/store_performance[[#This Row],[AverageCustomers]],2)</f>
        <v>8.48</v>
      </c>
      <c r="E844" t="str">
        <f>_xlfn.XLOOKUP(store_performance[[#This Row],[Store]],store_clean[Store],store_clean[StoreType],"Not Found")</f>
        <v>c</v>
      </c>
    </row>
    <row r="845" spans="1:5" x14ac:dyDescent="0.2">
      <c r="A845">
        <v>844</v>
      </c>
      <c r="B845" s="1">
        <v>4178.7124518613609</v>
      </c>
      <c r="C845" s="1">
        <v>454.22849807445442</v>
      </c>
      <c r="D845">
        <f>ROUND(store_performance[[#This Row],[AverageSales]]/store_performance[[#This Row],[AverageCustomers]],2)</f>
        <v>9.1999999999999993</v>
      </c>
      <c r="E845" t="str">
        <f>_xlfn.XLOOKUP(store_performance[[#This Row],[Store]],store_clean[Store],store_clean[StoreType],"Not Found")</f>
        <v>a</v>
      </c>
    </row>
    <row r="846" spans="1:5" x14ac:dyDescent="0.2">
      <c r="A846">
        <v>845</v>
      </c>
      <c r="B846" s="1">
        <v>4828.5618556701029</v>
      </c>
      <c r="C846" s="1">
        <v>357.90721649484539</v>
      </c>
      <c r="D846">
        <f>ROUND(store_performance[[#This Row],[AverageSales]]/store_performance[[#This Row],[AverageCustomers]],2)</f>
        <v>13.49</v>
      </c>
      <c r="E846" t="str">
        <f>_xlfn.XLOOKUP(store_performance[[#This Row],[Store]],store_clean[Store],store_clean[StoreType],"Not Found")</f>
        <v>d</v>
      </c>
    </row>
    <row r="847" spans="1:5" x14ac:dyDescent="0.2">
      <c r="A847">
        <v>846</v>
      </c>
      <c r="B847" s="1">
        <v>9224.6379974326064</v>
      </c>
      <c r="C847" s="1">
        <v>864.62002567394097</v>
      </c>
      <c r="D847">
        <f>ROUND(store_performance[[#This Row],[AverageSales]]/store_performance[[#This Row],[AverageCustomers]],2)</f>
        <v>10.67</v>
      </c>
      <c r="E847" t="str">
        <f>_xlfn.XLOOKUP(store_performance[[#This Row],[Store]],store_clean[Store],store_clean[StoreType],"Not Found")</f>
        <v>a</v>
      </c>
    </row>
    <row r="848" spans="1:5" x14ac:dyDescent="0.2">
      <c r="A848">
        <v>847</v>
      </c>
      <c r="B848" s="1">
        <v>7111.7615979381444</v>
      </c>
      <c r="C848" s="1">
        <v>1010.7538659793814</v>
      </c>
      <c r="D848">
        <f>ROUND(store_performance[[#This Row],[AverageSales]]/store_performance[[#This Row],[AverageCustomers]],2)</f>
        <v>7.04</v>
      </c>
      <c r="E848" t="str">
        <f>_xlfn.XLOOKUP(store_performance[[#This Row],[Store]],store_clean[Store],store_clean[StoreType],"Not Found")</f>
        <v>c</v>
      </c>
    </row>
    <row r="849" spans="1:5" x14ac:dyDescent="0.2">
      <c r="A849">
        <v>848</v>
      </c>
      <c r="B849" s="1">
        <v>6630.6028833551773</v>
      </c>
      <c r="C849" s="1">
        <v>753.17431192660547</v>
      </c>
      <c r="D849">
        <f>ROUND(store_performance[[#This Row],[AverageSales]]/store_performance[[#This Row],[AverageCustomers]],2)</f>
        <v>8.8000000000000007</v>
      </c>
      <c r="E849" t="str">
        <f>_xlfn.XLOOKUP(store_performance[[#This Row],[Store]],store_clean[Store],store_clean[StoreType],"Not Found")</f>
        <v>a</v>
      </c>
    </row>
    <row r="850" spans="1:5" x14ac:dyDescent="0.2">
      <c r="A850">
        <v>849</v>
      </c>
      <c r="B850" s="1">
        <v>8155.2181122448983</v>
      </c>
      <c r="C850" s="1">
        <v>889.13903061224494</v>
      </c>
      <c r="D850">
        <f>ROUND(store_performance[[#This Row],[AverageSales]]/store_performance[[#This Row],[AverageCustomers]],2)</f>
        <v>9.17</v>
      </c>
      <c r="E850" t="str">
        <f>_xlfn.XLOOKUP(store_performance[[#This Row],[Store]],store_clean[Store],store_clean[StoreType],"Not Found")</f>
        <v>c</v>
      </c>
    </row>
    <row r="851" spans="1:5" x14ac:dyDescent="0.2">
      <c r="A851">
        <v>850</v>
      </c>
      <c r="B851" s="1">
        <v>6193.7658473479951</v>
      </c>
      <c r="C851" s="1">
        <v>652.21086675291076</v>
      </c>
      <c r="D851">
        <f>ROUND(store_performance[[#This Row],[AverageSales]]/store_performance[[#This Row],[AverageCustomers]],2)</f>
        <v>9.5</v>
      </c>
      <c r="E851" t="str">
        <f>_xlfn.XLOOKUP(store_performance[[#This Row],[Store]],store_clean[Store],store_clean[StoreType],"Not Found")</f>
        <v>d</v>
      </c>
    </row>
    <row r="852" spans="1:5" x14ac:dyDescent="0.2">
      <c r="A852">
        <v>851</v>
      </c>
      <c r="B852" s="1">
        <v>5453.4630225080382</v>
      </c>
      <c r="C852" s="1">
        <v>469.69614147909965</v>
      </c>
      <c r="D852">
        <f>ROUND(store_performance[[#This Row],[AverageSales]]/store_performance[[#This Row],[AverageCustomers]],2)</f>
        <v>11.61</v>
      </c>
      <c r="E852" t="str">
        <f>_xlfn.XLOOKUP(store_performance[[#This Row],[Store]],store_clean[Store],store_clean[StoreType],"Not Found")</f>
        <v>d</v>
      </c>
    </row>
    <row r="853" spans="1:5" x14ac:dyDescent="0.2">
      <c r="A853">
        <v>852</v>
      </c>
      <c r="B853" s="1">
        <v>4606.513444302177</v>
      </c>
      <c r="C853" s="1">
        <v>583.9308578745198</v>
      </c>
      <c r="D853">
        <f>ROUND(store_performance[[#This Row],[AverageSales]]/store_performance[[#This Row],[AverageCustomers]],2)</f>
        <v>7.89</v>
      </c>
      <c r="E853" t="str">
        <f>_xlfn.XLOOKUP(store_performance[[#This Row],[Store]],store_clean[Store],store_clean[StoreType],"Not Found")</f>
        <v>c</v>
      </c>
    </row>
    <row r="854" spans="1:5" x14ac:dyDescent="0.2">
      <c r="A854">
        <v>853</v>
      </c>
      <c r="B854" s="1">
        <v>9243.1042471042474</v>
      </c>
      <c r="C854" s="1">
        <v>1020.2509652509652</v>
      </c>
      <c r="D854">
        <f>ROUND(store_performance[[#This Row],[AverageSales]]/store_performance[[#This Row],[AverageCustomers]],2)</f>
        <v>9.06</v>
      </c>
      <c r="E854" t="str">
        <f>_xlfn.XLOOKUP(store_performance[[#This Row],[Store]],store_clean[Store],store_clean[StoreType],"Not Found")</f>
        <v>a</v>
      </c>
    </row>
    <row r="855" spans="1:5" x14ac:dyDescent="0.2">
      <c r="A855">
        <v>854</v>
      </c>
      <c r="B855" s="1">
        <v>6577.1435897435895</v>
      </c>
      <c r="C855" s="1">
        <v>680.73461538461538</v>
      </c>
      <c r="D855">
        <f>ROUND(store_performance[[#This Row],[AverageSales]]/store_performance[[#This Row],[AverageCustomers]],2)</f>
        <v>9.66</v>
      </c>
      <c r="E855" t="str">
        <f>_xlfn.XLOOKUP(store_performance[[#This Row],[Store]],store_clean[Store],store_clean[StoreType],"Not Found")</f>
        <v>c</v>
      </c>
    </row>
    <row r="856" spans="1:5" x14ac:dyDescent="0.2">
      <c r="A856">
        <v>855</v>
      </c>
      <c r="B856" s="1">
        <v>5762.6718146718149</v>
      </c>
      <c r="C856" s="1">
        <v>614.36036036036035</v>
      </c>
      <c r="D856">
        <f>ROUND(store_performance[[#This Row],[AverageSales]]/store_performance[[#This Row],[AverageCustomers]],2)</f>
        <v>9.3800000000000008</v>
      </c>
      <c r="E856" t="str">
        <f>_xlfn.XLOOKUP(store_performance[[#This Row],[Store]],store_clean[Store],store_clean[StoreType],"Not Found")</f>
        <v>a</v>
      </c>
    </row>
    <row r="857" spans="1:5" x14ac:dyDescent="0.2">
      <c r="A857">
        <v>856</v>
      </c>
      <c r="B857" s="1">
        <v>7142.3801020408164</v>
      </c>
      <c r="C857" s="1">
        <v>957.88647959183675</v>
      </c>
      <c r="D857">
        <f>ROUND(store_performance[[#This Row],[AverageSales]]/store_performance[[#This Row],[AverageCustomers]],2)</f>
        <v>7.46</v>
      </c>
      <c r="E857" t="str">
        <f>_xlfn.XLOOKUP(store_performance[[#This Row],[Store]],store_clean[Store],store_clean[StoreType],"Not Found")</f>
        <v>a</v>
      </c>
    </row>
    <row r="858" spans="1:5" x14ac:dyDescent="0.2">
      <c r="A858">
        <v>857</v>
      </c>
      <c r="B858" s="1">
        <v>7446.322663252241</v>
      </c>
      <c r="C858" s="1">
        <v>922.98335467349557</v>
      </c>
      <c r="D858">
        <f>ROUND(store_performance[[#This Row],[AverageSales]]/store_performance[[#This Row],[AverageCustomers]],2)</f>
        <v>8.07</v>
      </c>
      <c r="E858" t="str">
        <f>_xlfn.XLOOKUP(store_performance[[#This Row],[Store]],store_clean[Store],store_clean[StoreType],"Not Found")</f>
        <v>c</v>
      </c>
    </row>
    <row r="859" spans="1:5" x14ac:dyDescent="0.2">
      <c r="A859">
        <v>858</v>
      </c>
      <c r="B859" s="1">
        <v>4755.6045016077169</v>
      </c>
      <c r="C859" s="1">
        <v>418.09967845659162</v>
      </c>
      <c r="D859">
        <f>ROUND(store_performance[[#This Row],[AverageSales]]/store_performance[[#This Row],[AverageCustomers]],2)</f>
        <v>11.37</v>
      </c>
      <c r="E859" t="str">
        <f>_xlfn.XLOOKUP(store_performance[[#This Row],[Store]],store_clean[Store],store_clean[StoreType],"Not Found")</f>
        <v>a</v>
      </c>
    </row>
    <row r="860" spans="1:5" x14ac:dyDescent="0.2">
      <c r="A860">
        <v>859</v>
      </c>
      <c r="B860" s="1">
        <v>7503.7491961414789</v>
      </c>
      <c r="C860" s="1">
        <v>726.25241157556275</v>
      </c>
      <c r="D860">
        <f>ROUND(store_performance[[#This Row],[AverageSales]]/store_performance[[#This Row],[AverageCustomers]],2)</f>
        <v>10.33</v>
      </c>
      <c r="E860" t="str">
        <f>_xlfn.XLOOKUP(store_performance[[#This Row],[Store]],store_clean[Store],store_clean[StoreType],"Not Found")</f>
        <v>c</v>
      </c>
    </row>
    <row r="861" spans="1:5" x14ac:dyDescent="0.2">
      <c r="A861">
        <v>860</v>
      </c>
      <c r="B861" s="1">
        <v>5781.3337595907924</v>
      </c>
      <c r="C861" s="1">
        <v>732.04859335038361</v>
      </c>
      <c r="D861">
        <f>ROUND(store_performance[[#This Row],[AverageSales]]/store_performance[[#This Row],[AverageCustomers]],2)</f>
        <v>7.9</v>
      </c>
      <c r="E861" t="str">
        <f>_xlfn.XLOOKUP(store_performance[[#This Row],[Store]],store_clean[Store],store_clean[StoreType],"Not Found")</f>
        <v>c</v>
      </c>
    </row>
    <row r="862" spans="1:5" x14ac:dyDescent="0.2">
      <c r="A862">
        <v>861</v>
      </c>
      <c r="B862" s="1">
        <v>3500.3494764397906</v>
      </c>
      <c r="C862" s="1">
        <v>509.5523560209424</v>
      </c>
      <c r="D862">
        <f>ROUND(store_performance[[#This Row],[AverageSales]]/store_performance[[#This Row],[AverageCustomers]],2)</f>
        <v>6.87</v>
      </c>
      <c r="E862" t="str">
        <f>_xlfn.XLOOKUP(store_performance[[#This Row],[Store]],store_clean[Store],store_clean[StoreType],"Not Found")</f>
        <v>c</v>
      </c>
    </row>
    <row r="863" spans="1:5" x14ac:dyDescent="0.2">
      <c r="A863">
        <v>862</v>
      </c>
      <c r="B863" s="1">
        <v>8565.1339285714294</v>
      </c>
      <c r="C863" s="1">
        <v>1118.1454081632653</v>
      </c>
      <c r="D863">
        <f>ROUND(store_performance[[#This Row],[AverageSales]]/store_performance[[#This Row],[AverageCustomers]],2)</f>
        <v>7.66</v>
      </c>
      <c r="E863" t="str">
        <f>_xlfn.XLOOKUP(store_performance[[#This Row],[Store]],store_clean[Store],store_clean[StoreType],"Not Found")</f>
        <v>a</v>
      </c>
    </row>
    <row r="864" spans="1:5" x14ac:dyDescent="0.2">
      <c r="A864">
        <v>863</v>
      </c>
      <c r="B864" s="1">
        <v>7707.8478015783539</v>
      </c>
      <c r="C864" s="1">
        <v>918.70236753100335</v>
      </c>
      <c r="D864">
        <f>ROUND(store_performance[[#This Row],[AverageSales]]/store_performance[[#This Row],[AverageCustomers]],2)</f>
        <v>8.39</v>
      </c>
      <c r="E864" t="str">
        <f>_xlfn.XLOOKUP(store_performance[[#This Row],[Store]],store_clean[Store],store_clean[StoreType],"Not Found")</f>
        <v>a</v>
      </c>
    </row>
    <row r="865" spans="1:5" x14ac:dyDescent="0.2">
      <c r="A865">
        <v>864</v>
      </c>
      <c r="B865" s="1">
        <v>4268.4362934362935</v>
      </c>
      <c r="C865" s="1">
        <v>587.96782496782498</v>
      </c>
      <c r="D865">
        <f>ROUND(store_performance[[#This Row],[AverageSales]]/store_performance[[#This Row],[AverageCustomers]],2)</f>
        <v>7.26</v>
      </c>
      <c r="E865" t="str">
        <f>_xlfn.XLOOKUP(store_performance[[#This Row],[Store]],store_clean[Store],store_clean[StoreType],"Not Found")</f>
        <v>a</v>
      </c>
    </row>
    <row r="866" spans="1:5" x14ac:dyDescent="0.2">
      <c r="A866">
        <v>865</v>
      </c>
      <c r="B866" s="1">
        <v>7566.5840821566107</v>
      </c>
      <c r="C866" s="1">
        <v>637.16046213093705</v>
      </c>
      <c r="D866">
        <f>ROUND(store_performance[[#This Row],[AverageSales]]/store_performance[[#This Row],[AverageCustomers]],2)</f>
        <v>11.88</v>
      </c>
      <c r="E866" t="str">
        <f>_xlfn.XLOOKUP(store_performance[[#This Row],[Store]],store_clean[Store],store_clean[StoreType],"Not Found")</f>
        <v>d</v>
      </c>
    </row>
    <row r="867" spans="1:5" x14ac:dyDescent="0.2">
      <c r="A867">
        <v>866</v>
      </c>
      <c r="B867" s="1">
        <v>6873.3918053777206</v>
      </c>
      <c r="C867" s="1">
        <v>486.00384122919337</v>
      </c>
      <c r="D867">
        <f>ROUND(store_performance[[#This Row],[AverageSales]]/store_performance[[#This Row],[AverageCustomers]],2)</f>
        <v>14.14</v>
      </c>
      <c r="E867" t="str">
        <f>_xlfn.XLOOKUP(store_performance[[#This Row],[Store]],store_clean[Store],store_clean[StoreType],"Not Found")</f>
        <v>d</v>
      </c>
    </row>
    <row r="868" spans="1:5" x14ac:dyDescent="0.2">
      <c r="A868">
        <v>867</v>
      </c>
      <c r="B868" s="1">
        <v>4329.221590909091</v>
      </c>
      <c r="C868" s="1">
        <v>410.0977272727273</v>
      </c>
      <c r="D868">
        <f>ROUND(store_performance[[#This Row],[AverageSales]]/store_performance[[#This Row],[AverageCustomers]],2)</f>
        <v>10.56</v>
      </c>
      <c r="E868" t="str">
        <f>_xlfn.XLOOKUP(store_performance[[#This Row],[Store]],store_clean[Store],store_clean[StoreType],"Not Found")</f>
        <v>d</v>
      </c>
    </row>
    <row r="869" spans="1:5" x14ac:dyDescent="0.2">
      <c r="A869">
        <v>868</v>
      </c>
      <c r="B869" s="1">
        <v>9578.2996158770802</v>
      </c>
      <c r="C869" s="1">
        <v>652.10755441741355</v>
      </c>
      <c r="D869">
        <f>ROUND(store_performance[[#This Row],[AverageSales]]/store_performance[[#This Row],[AverageCustomers]],2)</f>
        <v>14.69</v>
      </c>
      <c r="E869" t="str">
        <f>_xlfn.XLOOKUP(store_performance[[#This Row],[Store]],store_clean[Store],store_clean[StoreType],"Not Found")</f>
        <v>d</v>
      </c>
    </row>
    <row r="870" spans="1:5" x14ac:dyDescent="0.2">
      <c r="A870">
        <v>869</v>
      </c>
      <c r="B870" s="1">
        <v>5973.3076923076924</v>
      </c>
      <c r="C870" s="1">
        <v>870.0846153846154</v>
      </c>
      <c r="D870">
        <f>ROUND(store_performance[[#This Row],[AverageSales]]/store_performance[[#This Row],[AverageCustomers]],2)</f>
        <v>6.87</v>
      </c>
      <c r="E870" t="str">
        <f>_xlfn.XLOOKUP(store_performance[[#This Row],[Store]],store_clean[Store],store_clean[StoreType],"Not Found")</f>
        <v>c</v>
      </c>
    </row>
    <row r="871" spans="1:5" x14ac:dyDescent="0.2">
      <c r="A871">
        <v>870</v>
      </c>
      <c r="B871" s="1">
        <v>6929.2046632124357</v>
      </c>
      <c r="C871" s="1">
        <v>868.56088082901556</v>
      </c>
      <c r="D871">
        <f>ROUND(store_performance[[#This Row],[AverageSales]]/store_performance[[#This Row],[AverageCustomers]],2)</f>
        <v>7.98</v>
      </c>
      <c r="E871" t="str">
        <f>_xlfn.XLOOKUP(store_performance[[#This Row],[Store]],store_clean[Store],store_clean[StoreType],"Not Found")</f>
        <v>a</v>
      </c>
    </row>
    <row r="872" spans="1:5" x14ac:dyDescent="0.2">
      <c r="A872">
        <v>871</v>
      </c>
      <c r="B872" s="1">
        <v>6260.4980793854029</v>
      </c>
      <c r="C872" s="1">
        <v>479.62996158770807</v>
      </c>
      <c r="D872">
        <f>ROUND(store_performance[[#This Row],[AverageSales]]/store_performance[[#This Row],[AverageCustomers]],2)</f>
        <v>13.05</v>
      </c>
      <c r="E872" t="str">
        <f>_xlfn.XLOOKUP(store_performance[[#This Row],[Store]],store_clean[Store],store_clean[StoreType],"Not Found")</f>
        <v>d</v>
      </c>
    </row>
    <row r="873" spans="1:5" x14ac:dyDescent="0.2">
      <c r="A873">
        <v>872</v>
      </c>
      <c r="B873" s="1">
        <v>8536.4069319640566</v>
      </c>
      <c r="C873" s="1">
        <v>821.72528883183566</v>
      </c>
      <c r="D873">
        <f>ROUND(store_performance[[#This Row],[AverageSales]]/store_performance[[#This Row],[AverageCustomers]],2)</f>
        <v>10.39</v>
      </c>
      <c r="E873" t="str">
        <f>_xlfn.XLOOKUP(store_performance[[#This Row],[Store]],store_clean[Store],store_clean[StoreType],"Not Found")</f>
        <v>a</v>
      </c>
    </row>
    <row r="874" spans="1:5" x14ac:dyDescent="0.2">
      <c r="A874">
        <v>873</v>
      </c>
      <c r="B874" s="1">
        <v>3833.3448717948718</v>
      </c>
      <c r="C874" s="1">
        <v>456.25641025641028</v>
      </c>
      <c r="D874">
        <f>ROUND(store_performance[[#This Row],[AverageSales]]/store_performance[[#This Row],[AverageCustomers]],2)</f>
        <v>8.4</v>
      </c>
      <c r="E874" t="str">
        <f>_xlfn.XLOOKUP(store_performance[[#This Row],[Store]],store_clean[Store],store_clean[StoreType],"Not Found")</f>
        <v>a</v>
      </c>
    </row>
    <row r="875" spans="1:5" x14ac:dyDescent="0.2">
      <c r="A875">
        <v>874</v>
      </c>
      <c r="B875" s="1">
        <v>4583.6926020408164</v>
      </c>
      <c r="C875" s="1">
        <v>509.76785714285717</v>
      </c>
      <c r="D875">
        <f>ROUND(store_performance[[#This Row],[AverageSales]]/store_performance[[#This Row],[AverageCustomers]],2)</f>
        <v>8.99</v>
      </c>
      <c r="E875" t="str">
        <f>_xlfn.XLOOKUP(store_performance[[#This Row],[Store]],store_clean[Store],store_clean[StoreType],"Not Found")</f>
        <v>a</v>
      </c>
    </row>
    <row r="876" spans="1:5" x14ac:dyDescent="0.2">
      <c r="A876">
        <v>875</v>
      </c>
      <c r="B876" s="1">
        <v>5061.6623876765079</v>
      </c>
      <c r="C876" s="1">
        <v>470.23106546854945</v>
      </c>
      <c r="D876">
        <f>ROUND(store_performance[[#This Row],[AverageSales]]/store_performance[[#This Row],[AverageCustomers]],2)</f>
        <v>10.76</v>
      </c>
      <c r="E876" t="str">
        <f>_xlfn.XLOOKUP(store_performance[[#This Row],[Store]],store_clean[Store],store_clean[StoreType],"Not Found")</f>
        <v>d</v>
      </c>
    </row>
    <row r="877" spans="1:5" x14ac:dyDescent="0.2">
      <c r="A877">
        <v>876</v>
      </c>
      <c r="B877" s="1">
        <v>9228.9099216710183</v>
      </c>
      <c r="C877" s="1">
        <v>1016.9791122715404</v>
      </c>
      <c r="D877">
        <f>ROUND(store_performance[[#This Row],[AverageSales]]/store_performance[[#This Row],[AverageCustomers]],2)</f>
        <v>9.07</v>
      </c>
      <c r="E877" t="str">
        <f>_xlfn.XLOOKUP(store_performance[[#This Row],[Store]],store_clean[Store],store_clean[StoreType],"Not Found")</f>
        <v>a</v>
      </c>
    </row>
    <row r="878" spans="1:5" x14ac:dyDescent="0.2">
      <c r="A878">
        <v>877</v>
      </c>
      <c r="B878" s="1">
        <v>6331.502481389578</v>
      </c>
      <c r="C878" s="1">
        <v>873.49379652605455</v>
      </c>
      <c r="D878">
        <f>ROUND(store_performance[[#This Row],[AverageSales]]/store_performance[[#This Row],[AverageCustomers]],2)</f>
        <v>7.25</v>
      </c>
      <c r="E878" t="str">
        <f>_xlfn.XLOOKUP(store_performance[[#This Row],[Store]],store_clean[Store],store_clean[StoreType],"Not Found")</f>
        <v>a</v>
      </c>
    </row>
    <row r="879" spans="1:5" x14ac:dyDescent="0.2">
      <c r="A879">
        <v>878</v>
      </c>
      <c r="B879" s="1">
        <v>8720.084615384616</v>
      </c>
      <c r="C879" s="1">
        <v>795.72948717948714</v>
      </c>
      <c r="D879">
        <f>ROUND(store_performance[[#This Row],[AverageSales]]/store_performance[[#This Row],[AverageCustomers]],2)</f>
        <v>10.96</v>
      </c>
      <c r="E879" t="str">
        <f>_xlfn.XLOOKUP(store_performance[[#This Row],[Store]],store_clean[Store],store_clean[StoreType],"Not Found")</f>
        <v>d</v>
      </c>
    </row>
    <row r="880" spans="1:5" x14ac:dyDescent="0.2">
      <c r="A880">
        <v>879</v>
      </c>
      <c r="B880" s="1">
        <v>3762.9839228295818</v>
      </c>
      <c r="C880" s="1">
        <v>347.32636655948551</v>
      </c>
      <c r="D880">
        <f>ROUND(store_performance[[#This Row],[AverageSales]]/store_performance[[#This Row],[AverageCustomers]],2)</f>
        <v>10.83</v>
      </c>
      <c r="E880" t="str">
        <f>_xlfn.XLOOKUP(store_performance[[#This Row],[Store]],store_clean[Store],store_clean[StoreType],"Not Found")</f>
        <v>d</v>
      </c>
    </row>
    <row r="881" spans="1:5" x14ac:dyDescent="0.2">
      <c r="A881">
        <v>880</v>
      </c>
      <c r="B881" s="1">
        <v>7507.0592020592021</v>
      </c>
      <c r="C881" s="1">
        <v>790.2548262548263</v>
      </c>
      <c r="D881">
        <f>ROUND(store_performance[[#This Row],[AverageSales]]/store_performance[[#This Row],[AverageCustomers]],2)</f>
        <v>9.5</v>
      </c>
      <c r="E881" t="str">
        <f>_xlfn.XLOOKUP(store_performance[[#This Row],[Store]],store_clean[Store],store_clean[StoreType],"Not Found")</f>
        <v>a</v>
      </c>
    </row>
    <row r="882" spans="1:5" x14ac:dyDescent="0.2">
      <c r="A882">
        <v>881</v>
      </c>
      <c r="B882" s="1">
        <v>4203.0166880616171</v>
      </c>
      <c r="C882" s="1">
        <v>620.40564826700904</v>
      </c>
      <c r="D882">
        <f>ROUND(store_performance[[#This Row],[AverageSales]]/store_performance[[#This Row],[AverageCustomers]],2)</f>
        <v>6.77</v>
      </c>
      <c r="E882" t="str">
        <f>_xlfn.XLOOKUP(store_performance[[#This Row],[Store]],store_clean[Store],store_clean[StoreType],"Not Found")</f>
        <v>a</v>
      </c>
    </row>
    <row r="883" spans="1:5" x14ac:dyDescent="0.2">
      <c r="A883">
        <v>882</v>
      </c>
      <c r="B883" s="1">
        <v>6607.3524057217164</v>
      </c>
      <c r="C883" s="1">
        <v>842.34200260078023</v>
      </c>
      <c r="D883">
        <f>ROUND(store_performance[[#This Row],[AverageSales]]/store_performance[[#This Row],[AverageCustomers]],2)</f>
        <v>7.84</v>
      </c>
      <c r="E883" t="str">
        <f>_xlfn.XLOOKUP(store_performance[[#This Row],[Store]],store_clean[Store],store_clean[StoreType],"Not Found")</f>
        <v>a</v>
      </c>
    </row>
    <row r="884" spans="1:5" x14ac:dyDescent="0.2">
      <c r="A884">
        <v>883</v>
      </c>
      <c r="B884" s="1">
        <v>4768.6508344030808</v>
      </c>
      <c r="C884" s="1">
        <v>502.61745827984595</v>
      </c>
      <c r="D884">
        <f>ROUND(store_performance[[#This Row],[AverageSales]]/store_performance[[#This Row],[AverageCustomers]],2)</f>
        <v>9.49</v>
      </c>
      <c r="E884" t="str">
        <f>_xlfn.XLOOKUP(store_performance[[#This Row],[Store]],store_clean[Store],store_clean[StoreType],"Not Found")</f>
        <v>a</v>
      </c>
    </row>
    <row r="885" spans="1:5" x14ac:dyDescent="0.2">
      <c r="A885">
        <v>884</v>
      </c>
      <c r="B885" s="1">
        <v>5536.9099678456596</v>
      </c>
      <c r="C885" s="1">
        <v>530.06913183279744</v>
      </c>
      <c r="D885">
        <f>ROUND(store_performance[[#This Row],[AverageSales]]/store_performance[[#This Row],[AverageCustomers]],2)</f>
        <v>10.45</v>
      </c>
      <c r="E885" t="str">
        <f>_xlfn.XLOOKUP(store_performance[[#This Row],[Store]],store_clean[Store],store_clean[StoreType],"Not Found")</f>
        <v>d</v>
      </c>
    </row>
    <row r="886" spans="1:5" x14ac:dyDescent="0.2">
      <c r="A886">
        <v>885</v>
      </c>
      <c r="B886" s="1">
        <v>5458.6752577319585</v>
      </c>
      <c r="C886" s="1">
        <v>729.2448453608248</v>
      </c>
      <c r="D886">
        <f>ROUND(store_performance[[#This Row],[AverageSales]]/store_performance[[#This Row],[AverageCustomers]],2)</f>
        <v>7.49</v>
      </c>
      <c r="E886" t="str">
        <f>_xlfn.XLOOKUP(store_performance[[#This Row],[Store]],store_clean[Store],store_clean[StoreType],"Not Found")</f>
        <v>a</v>
      </c>
    </row>
    <row r="887" spans="1:5" x14ac:dyDescent="0.2">
      <c r="A887">
        <v>886</v>
      </c>
      <c r="B887" s="1">
        <v>6442.7240051347881</v>
      </c>
      <c r="C887" s="1">
        <v>609.00128369704748</v>
      </c>
      <c r="D887">
        <f>ROUND(store_performance[[#This Row],[AverageSales]]/store_performance[[#This Row],[AverageCustomers]],2)</f>
        <v>10.58</v>
      </c>
      <c r="E887" t="str">
        <f>_xlfn.XLOOKUP(store_performance[[#This Row],[Store]],store_clean[Store],store_clean[StoreType],"Not Found")</f>
        <v>a</v>
      </c>
    </row>
    <row r="888" spans="1:5" x14ac:dyDescent="0.2">
      <c r="A888">
        <v>887</v>
      </c>
      <c r="B888" s="1">
        <v>6887.3704663212438</v>
      </c>
      <c r="C888" s="1">
        <v>577.12823834196888</v>
      </c>
      <c r="D888">
        <f>ROUND(store_performance[[#This Row],[AverageSales]]/store_performance[[#This Row],[AverageCustomers]],2)</f>
        <v>11.93</v>
      </c>
      <c r="E888" t="str">
        <f>_xlfn.XLOOKUP(store_performance[[#This Row],[Store]],store_clean[Store],store_clean[StoreType],"Not Found")</f>
        <v>d</v>
      </c>
    </row>
    <row r="889" spans="1:5" x14ac:dyDescent="0.2">
      <c r="A889">
        <v>888</v>
      </c>
      <c r="B889" s="1">
        <v>7998.7410714285716</v>
      </c>
      <c r="C889" s="1">
        <v>743.40943877551024</v>
      </c>
      <c r="D889">
        <f>ROUND(store_performance[[#This Row],[AverageSales]]/store_performance[[#This Row],[AverageCustomers]],2)</f>
        <v>10.76</v>
      </c>
      <c r="E889" t="str">
        <f>_xlfn.XLOOKUP(store_performance[[#This Row],[Store]],store_clean[Store],store_clean[StoreType],"Not Found")</f>
        <v>d</v>
      </c>
    </row>
    <row r="890" spans="1:5" x14ac:dyDescent="0.2">
      <c r="A890">
        <v>889</v>
      </c>
      <c r="B890" s="1">
        <v>4144.4371794871795</v>
      </c>
      <c r="C890" s="1">
        <v>452.95384615384614</v>
      </c>
      <c r="D890">
        <f>ROUND(store_performance[[#This Row],[AverageSales]]/store_performance[[#This Row],[AverageCustomers]],2)</f>
        <v>9.15</v>
      </c>
      <c r="E890" t="str">
        <f>_xlfn.XLOOKUP(store_performance[[#This Row],[Store]],store_clean[Store],store_clean[StoreType],"Not Found")</f>
        <v>d</v>
      </c>
    </row>
    <row r="891" spans="1:5" x14ac:dyDescent="0.2">
      <c r="A891">
        <v>890</v>
      </c>
      <c r="B891" s="1">
        <v>5729.5836012861737</v>
      </c>
      <c r="C891" s="1">
        <v>444.67684887459808</v>
      </c>
      <c r="D891">
        <f>ROUND(store_performance[[#This Row],[AverageSales]]/store_performance[[#This Row],[AverageCustomers]],2)</f>
        <v>12.88</v>
      </c>
      <c r="E891" t="str">
        <f>_xlfn.XLOOKUP(store_performance[[#This Row],[Store]],store_clean[Store],store_clean[StoreType],"Not Found")</f>
        <v>a</v>
      </c>
    </row>
    <row r="892" spans="1:5" x14ac:dyDescent="0.2">
      <c r="A892">
        <v>891</v>
      </c>
      <c r="B892" s="1">
        <v>7976.4072164948457</v>
      </c>
      <c r="C892" s="1">
        <v>1097.4600515463917</v>
      </c>
      <c r="D892">
        <f>ROUND(store_performance[[#This Row],[AverageSales]]/store_performance[[#This Row],[AverageCustomers]],2)</f>
        <v>7.27</v>
      </c>
      <c r="E892" t="str">
        <f>_xlfn.XLOOKUP(store_performance[[#This Row],[Store]],store_clean[Store],store_clean[StoreType],"Not Found")</f>
        <v>a</v>
      </c>
    </row>
    <row r="893" spans="1:5" x14ac:dyDescent="0.2">
      <c r="A893">
        <v>892</v>
      </c>
      <c r="B893" s="1">
        <v>7599.1628205128209</v>
      </c>
      <c r="C893" s="1">
        <v>780.04743589743589</v>
      </c>
      <c r="D893">
        <f>ROUND(store_performance[[#This Row],[AverageSales]]/store_performance[[#This Row],[AverageCustomers]],2)</f>
        <v>9.74</v>
      </c>
      <c r="E893" t="str">
        <f>_xlfn.XLOOKUP(store_performance[[#This Row],[Store]],store_clean[Store],store_clean[StoreType],"Not Found")</f>
        <v>a</v>
      </c>
    </row>
    <row r="894" spans="1:5" x14ac:dyDescent="0.2">
      <c r="A894">
        <v>893</v>
      </c>
      <c r="B894" s="1">
        <v>6396.5900321543404</v>
      </c>
      <c r="C894" s="1">
        <v>827.85369774919616</v>
      </c>
      <c r="D894">
        <f>ROUND(store_performance[[#This Row],[AverageSales]]/store_performance[[#This Row],[AverageCustomers]],2)</f>
        <v>7.73</v>
      </c>
      <c r="E894" t="str">
        <f>_xlfn.XLOOKUP(store_performance[[#This Row],[Store]],store_clean[Store],store_clean[StoreType],"Not Found")</f>
        <v>a</v>
      </c>
    </row>
    <row r="895" spans="1:5" x14ac:dyDescent="0.2">
      <c r="A895">
        <v>894</v>
      </c>
      <c r="B895" s="1">
        <v>8468.4798962386503</v>
      </c>
      <c r="C895" s="1">
        <v>1034.7120622568093</v>
      </c>
      <c r="D895">
        <f>ROUND(store_performance[[#This Row],[AverageSales]]/store_performance[[#This Row],[AverageCustomers]],2)</f>
        <v>8.18</v>
      </c>
      <c r="E895" t="str">
        <f>_xlfn.XLOOKUP(store_performance[[#This Row],[Store]],store_clean[Store],store_clean[StoreType],"Not Found")</f>
        <v>a</v>
      </c>
    </row>
    <row r="896" spans="1:5" x14ac:dyDescent="0.2">
      <c r="A896">
        <v>895</v>
      </c>
      <c r="B896" s="1">
        <v>9329.3590733590736</v>
      </c>
      <c r="C896" s="1">
        <v>881.72072072072069</v>
      </c>
      <c r="D896">
        <f>ROUND(store_performance[[#This Row],[AverageSales]]/store_performance[[#This Row],[AverageCustomers]],2)</f>
        <v>10.58</v>
      </c>
      <c r="E896" t="str">
        <f>_xlfn.XLOOKUP(store_performance[[#This Row],[Store]],store_clean[Store],store_clean[StoreType],"Not Found")</f>
        <v>a</v>
      </c>
    </row>
    <row r="897" spans="1:5" x14ac:dyDescent="0.2">
      <c r="A897">
        <v>896</v>
      </c>
      <c r="B897" s="1">
        <v>6937.6658163265311</v>
      </c>
      <c r="C897" s="1">
        <v>1087.7448979591836</v>
      </c>
      <c r="D897">
        <f>ROUND(store_performance[[#This Row],[AverageSales]]/store_performance[[#This Row],[AverageCustomers]],2)</f>
        <v>6.38</v>
      </c>
      <c r="E897" t="str">
        <f>_xlfn.XLOOKUP(store_performance[[#This Row],[Store]],store_clean[Store],store_clean[StoreType],"Not Found")</f>
        <v>a</v>
      </c>
    </row>
    <row r="898" spans="1:5" x14ac:dyDescent="0.2">
      <c r="A898">
        <v>897</v>
      </c>
      <c r="B898" s="1">
        <v>3492.9447300771208</v>
      </c>
      <c r="C898" s="1">
        <v>345.61053984575835</v>
      </c>
      <c r="D898">
        <f>ROUND(store_performance[[#This Row],[AverageSales]]/store_performance[[#This Row],[AverageCustomers]],2)</f>
        <v>10.11</v>
      </c>
      <c r="E898" t="str">
        <f>_xlfn.XLOOKUP(store_performance[[#This Row],[Store]],store_clean[Store],store_clean[StoreType],"Not Found")</f>
        <v>c</v>
      </c>
    </row>
    <row r="899" spans="1:5" x14ac:dyDescent="0.2">
      <c r="A899">
        <v>898</v>
      </c>
      <c r="B899" s="1">
        <v>6615.434782608696</v>
      </c>
      <c r="C899" s="1">
        <v>710.91943734015342</v>
      </c>
      <c r="D899">
        <f>ROUND(store_performance[[#This Row],[AverageSales]]/store_performance[[#This Row],[AverageCustomers]],2)</f>
        <v>9.31</v>
      </c>
      <c r="E899" t="str">
        <f>_xlfn.XLOOKUP(store_performance[[#This Row],[Store]],store_clean[Store],store_clean[StoreType],"Not Found")</f>
        <v>a</v>
      </c>
    </row>
    <row r="900" spans="1:5" x14ac:dyDescent="0.2">
      <c r="A900">
        <v>899</v>
      </c>
      <c r="B900" s="1">
        <v>5268.3153846153846</v>
      </c>
      <c r="C900" s="1">
        <v>562.51153846153841</v>
      </c>
      <c r="D900">
        <f>ROUND(store_performance[[#This Row],[AverageSales]]/store_performance[[#This Row],[AverageCustomers]],2)</f>
        <v>9.3699999999999992</v>
      </c>
      <c r="E900" t="str">
        <f>_xlfn.XLOOKUP(store_performance[[#This Row],[Store]],store_clean[Store],store_clean[StoreType],"Not Found")</f>
        <v>d</v>
      </c>
    </row>
    <row r="901" spans="1:5" x14ac:dyDescent="0.2">
      <c r="A901">
        <v>900</v>
      </c>
      <c r="B901" s="1">
        <v>5844.5128617363343</v>
      </c>
      <c r="C901" s="1">
        <v>549.0257234726688</v>
      </c>
      <c r="D901">
        <f>ROUND(store_performance[[#This Row],[AverageSales]]/store_performance[[#This Row],[AverageCustomers]],2)</f>
        <v>10.65</v>
      </c>
      <c r="E901" t="str">
        <f>_xlfn.XLOOKUP(store_performance[[#This Row],[Store]],store_clean[Store],store_clean[StoreType],"Not Found")</f>
        <v>a</v>
      </c>
    </row>
    <row r="902" spans="1:5" x14ac:dyDescent="0.2">
      <c r="A902">
        <v>901</v>
      </c>
      <c r="B902" s="1">
        <v>7231.0420918367345</v>
      </c>
      <c r="C902" s="1">
        <v>638.70663265306121</v>
      </c>
      <c r="D902">
        <f>ROUND(store_performance[[#This Row],[AverageSales]]/store_performance[[#This Row],[AverageCustomers]],2)</f>
        <v>11.32</v>
      </c>
      <c r="E902" t="str">
        <f>_xlfn.XLOOKUP(store_performance[[#This Row],[Store]],store_clean[Store],store_clean[StoreType],"Not Found")</f>
        <v>a</v>
      </c>
    </row>
    <row r="903" spans="1:5" x14ac:dyDescent="0.2">
      <c r="A903">
        <v>902</v>
      </c>
      <c r="B903" s="1">
        <v>4886.471061093248</v>
      </c>
      <c r="C903" s="1">
        <v>628.94051446945343</v>
      </c>
      <c r="D903">
        <f>ROUND(store_performance[[#This Row],[AverageSales]]/store_performance[[#This Row],[AverageCustomers]],2)</f>
        <v>7.77</v>
      </c>
      <c r="E903" t="str">
        <f>_xlfn.XLOOKUP(store_performance[[#This Row],[Store]],store_clean[Store],store_clean[StoreType],"Not Found")</f>
        <v>a</v>
      </c>
    </row>
    <row r="904" spans="1:5" x14ac:dyDescent="0.2">
      <c r="A904">
        <v>903</v>
      </c>
      <c r="B904" s="1">
        <v>11737.745980707396</v>
      </c>
      <c r="C904" s="1">
        <v>817.77652733118975</v>
      </c>
      <c r="D904">
        <f>ROUND(store_performance[[#This Row],[AverageSales]]/store_performance[[#This Row],[AverageCustomers]],2)</f>
        <v>14.35</v>
      </c>
      <c r="E904" t="str">
        <f>_xlfn.XLOOKUP(store_performance[[#This Row],[Store]],store_clean[Store],store_clean[StoreType],"Not Found")</f>
        <v>d</v>
      </c>
    </row>
    <row r="905" spans="1:5" x14ac:dyDescent="0.2">
      <c r="A905">
        <v>904</v>
      </c>
      <c r="B905" s="1">
        <v>6016.7572347266878</v>
      </c>
      <c r="C905" s="1">
        <v>513.98874598070745</v>
      </c>
      <c r="D905">
        <f>ROUND(store_performance[[#This Row],[AverageSales]]/store_performance[[#This Row],[AverageCustomers]],2)</f>
        <v>11.71</v>
      </c>
      <c r="E905" t="str">
        <f>_xlfn.XLOOKUP(store_performance[[#This Row],[Store]],store_clean[Store],store_clean[StoreType],"Not Found")</f>
        <v>d</v>
      </c>
    </row>
    <row r="906" spans="1:5" x14ac:dyDescent="0.2">
      <c r="A906">
        <v>905</v>
      </c>
      <c r="B906" s="1">
        <v>8530.2516046213095</v>
      </c>
      <c r="C906" s="1">
        <v>1267.4505776636713</v>
      </c>
      <c r="D906">
        <f>ROUND(store_performance[[#This Row],[AverageSales]]/store_performance[[#This Row],[AverageCustomers]],2)</f>
        <v>6.73</v>
      </c>
      <c r="E906" t="str">
        <f>_xlfn.XLOOKUP(store_performance[[#This Row],[Store]],store_clean[Store],store_clean[StoreType],"Not Found")</f>
        <v>a</v>
      </c>
    </row>
    <row r="907" spans="1:5" x14ac:dyDescent="0.2">
      <c r="A907">
        <v>906</v>
      </c>
      <c r="B907" s="1">
        <v>10929.289372599233</v>
      </c>
      <c r="C907" s="1">
        <v>1270.8450704225352</v>
      </c>
      <c r="D907">
        <f>ROUND(store_performance[[#This Row],[AverageSales]]/store_performance[[#This Row],[AverageCustomers]],2)</f>
        <v>8.6</v>
      </c>
      <c r="E907" t="str">
        <f>_xlfn.XLOOKUP(store_performance[[#This Row],[Store]],store_clean[Store],store_clean[StoreType],"Not Found")</f>
        <v>a</v>
      </c>
    </row>
    <row r="908" spans="1:5" x14ac:dyDescent="0.2">
      <c r="A908">
        <v>907</v>
      </c>
      <c r="B908" s="1">
        <v>6270.7496790757377</v>
      </c>
      <c r="C908" s="1">
        <v>829.32862644415923</v>
      </c>
      <c r="D908">
        <f>ROUND(store_performance[[#This Row],[AverageSales]]/store_performance[[#This Row],[AverageCustomers]],2)</f>
        <v>7.56</v>
      </c>
      <c r="E908" t="str">
        <f>_xlfn.XLOOKUP(store_performance[[#This Row],[Store]],store_clean[Store],store_clean[StoreType],"Not Found")</f>
        <v>a</v>
      </c>
    </row>
    <row r="909" spans="1:5" x14ac:dyDescent="0.2">
      <c r="A909">
        <v>908</v>
      </c>
      <c r="B909" s="1">
        <v>4234.8271446863</v>
      </c>
      <c r="C909" s="1">
        <v>363.07426376440463</v>
      </c>
      <c r="D909">
        <f>ROUND(store_performance[[#This Row],[AverageSales]]/store_performance[[#This Row],[AverageCustomers]],2)</f>
        <v>11.66</v>
      </c>
      <c r="E909" t="str">
        <f>_xlfn.XLOOKUP(store_performance[[#This Row],[Store]],store_clean[Store],store_clean[StoreType],"Not Found")</f>
        <v>a</v>
      </c>
    </row>
    <row r="910" spans="1:5" x14ac:dyDescent="0.2">
      <c r="A910">
        <v>909</v>
      </c>
      <c r="B910" s="1">
        <v>10728.983525535421</v>
      </c>
      <c r="C910" s="1">
        <v>1020.0939044481055</v>
      </c>
      <c r="D910">
        <f>ROUND(store_performance[[#This Row],[AverageSales]]/store_performance[[#This Row],[AverageCustomers]],2)</f>
        <v>10.52</v>
      </c>
      <c r="E910" t="str">
        <f>_xlfn.XLOOKUP(store_performance[[#This Row],[Store]],store_clean[Store],store_clean[StoreType],"Not Found")</f>
        <v>a</v>
      </c>
    </row>
    <row r="911" spans="1:5" x14ac:dyDescent="0.2">
      <c r="A911">
        <v>910</v>
      </c>
      <c r="B911" s="1">
        <v>5708.8064102564103</v>
      </c>
      <c r="C911" s="1">
        <v>573.57051282051282</v>
      </c>
      <c r="D911">
        <f>ROUND(store_performance[[#This Row],[AverageSales]]/store_performance[[#This Row],[AverageCustomers]],2)</f>
        <v>9.9499999999999993</v>
      </c>
      <c r="E911" t="str">
        <f>_xlfn.XLOOKUP(store_performance[[#This Row],[Store]],store_clean[Store],store_clean[StoreType],"Not Found")</f>
        <v>d</v>
      </c>
    </row>
    <row r="912" spans="1:5" x14ac:dyDescent="0.2">
      <c r="A912">
        <v>911</v>
      </c>
      <c r="B912" s="1">
        <v>9884.9081632653069</v>
      </c>
      <c r="C912" s="1">
        <v>909.42091836734699</v>
      </c>
      <c r="D912">
        <f>ROUND(store_performance[[#This Row],[AverageSales]]/store_performance[[#This Row],[AverageCustomers]],2)</f>
        <v>10.87</v>
      </c>
      <c r="E912" t="str">
        <f>_xlfn.XLOOKUP(store_performance[[#This Row],[Store]],store_clean[Store],store_clean[StoreType],"Not Found")</f>
        <v>a</v>
      </c>
    </row>
    <row r="913" spans="1:5" x14ac:dyDescent="0.2">
      <c r="A913">
        <v>912</v>
      </c>
      <c r="B913" s="1">
        <v>5765.9795918367345</v>
      </c>
      <c r="C913" s="1">
        <v>758.6454081632653</v>
      </c>
      <c r="D913">
        <f>ROUND(store_performance[[#This Row],[AverageSales]]/store_performance[[#This Row],[AverageCustomers]],2)</f>
        <v>7.6</v>
      </c>
      <c r="E913" t="str">
        <f>_xlfn.XLOOKUP(store_performance[[#This Row],[Store]],store_clean[Store],store_clean[StoreType],"Not Found")</f>
        <v>c</v>
      </c>
    </row>
    <row r="914" spans="1:5" x14ac:dyDescent="0.2">
      <c r="A914">
        <v>913</v>
      </c>
      <c r="B914" s="1">
        <v>8892.1610824742274</v>
      </c>
      <c r="C914" s="1">
        <v>1162.4587628865979</v>
      </c>
      <c r="D914">
        <f>ROUND(store_performance[[#This Row],[AverageSales]]/store_performance[[#This Row],[AverageCustomers]],2)</f>
        <v>7.65</v>
      </c>
      <c r="E914" t="str">
        <f>_xlfn.XLOOKUP(store_performance[[#This Row],[Store]],store_clean[Store],store_clean[StoreType],"Not Found")</f>
        <v>a</v>
      </c>
    </row>
    <row r="915" spans="1:5" x14ac:dyDescent="0.2">
      <c r="A915">
        <v>914</v>
      </c>
      <c r="B915" s="1">
        <v>9506.7079081632655</v>
      </c>
      <c r="C915" s="1">
        <v>1133.4285714285713</v>
      </c>
      <c r="D915">
        <f>ROUND(store_performance[[#This Row],[AverageSales]]/store_performance[[#This Row],[AverageCustomers]],2)</f>
        <v>8.39</v>
      </c>
      <c r="E915" t="str">
        <f>_xlfn.XLOOKUP(store_performance[[#This Row],[Store]],store_clean[Store],store_clean[StoreType],"Not Found")</f>
        <v>c</v>
      </c>
    </row>
    <row r="916" spans="1:5" x14ac:dyDescent="0.2">
      <c r="A916">
        <v>915</v>
      </c>
      <c r="B916" s="1">
        <v>6338.1077170418002</v>
      </c>
      <c r="C916" s="1">
        <v>513.68167202572351</v>
      </c>
      <c r="D916">
        <f>ROUND(store_performance[[#This Row],[AverageSales]]/store_performance[[#This Row],[AverageCustomers]],2)</f>
        <v>12.34</v>
      </c>
      <c r="E916" t="str">
        <f>_xlfn.XLOOKUP(store_performance[[#This Row],[Store]],store_clean[Store],store_clean[StoreType],"Not Found")</f>
        <v>d</v>
      </c>
    </row>
    <row r="917" spans="1:5" x14ac:dyDescent="0.2">
      <c r="A917">
        <v>916</v>
      </c>
      <c r="B917" s="1">
        <v>5382.2268041237112</v>
      </c>
      <c r="C917" s="1">
        <v>704.5567010309278</v>
      </c>
      <c r="D917">
        <f>ROUND(store_performance[[#This Row],[AverageSales]]/store_performance[[#This Row],[AverageCustomers]],2)</f>
        <v>7.64</v>
      </c>
      <c r="E917" t="str">
        <f>_xlfn.XLOOKUP(store_performance[[#This Row],[Store]],store_clean[Store],store_clean[StoreType],"Not Found")</f>
        <v>a</v>
      </c>
    </row>
    <row r="918" spans="1:5" x14ac:dyDescent="0.2">
      <c r="A918">
        <v>917</v>
      </c>
      <c r="B918" s="1">
        <v>6702.944801026958</v>
      </c>
      <c r="C918" s="1">
        <v>741.28626444159181</v>
      </c>
      <c r="D918">
        <f>ROUND(store_performance[[#This Row],[AverageSales]]/store_performance[[#This Row],[AverageCustomers]],2)</f>
        <v>9.0399999999999991</v>
      </c>
      <c r="E918" t="str">
        <f>_xlfn.XLOOKUP(store_performance[[#This Row],[Store]],store_clean[Store],store_clean[StoreType],"Not Found")</f>
        <v>a</v>
      </c>
    </row>
    <row r="919" spans="1:5" x14ac:dyDescent="0.2">
      <c r="A919">
        <v>918</v>
      </c>
      <c r="B919" s="1">
        <v>5187.2717948717946</v>
      </c>
      <c r="C919" s="1">
        <v>552.94358974358977</v>
      </c>
      <c r="D919">
        <f>ROUND(store_performance[[#This Row],[AverageSales]]/store_performance[[#This Row],[AverageCustomers]],2)</f>
        <v>9.3800000000000008</v>
      </c>
      <c r="E919" t="str">
        <f>_xlfn.XLOOKUP(store_performance[[#This Row],[Store]],store_clean[Store],store_clean[StoreType],"Not Found")</f>
        <v>a</v>
      </c>
    </row>
    <row r="920" spans="1:5" x14ac:dyDescent="0.2">
      <c r="A920">
        <v>919</v>
      </c>
      <c r="B920" s="1">
        <v>5536.3816425120776</v>
      </c>
      <c r="C920" s="1">
        <v>676.64895330112722</v>
      </c>
      <c r="D920">
        <f>ROUND(store_performance[[#This Row],[AverageSales]]/store_performance[[#This Row],[AverageCustomers]],2)</f>
        <v>8.18</v>
      </c>
      <c r="E920" t="str">
        <f>_xlfn.XLOOKUP(store_performance[[#This Row],[Store]],store_clean[Store],store_clean[StoreType],"Not Found")</f>
        <v>a</v>
      </c>
    </row>
    <row r="921" spans="1:5" x14ac:dyDescent="0.2">
      <c r="A921">
        <v>920</v>
      </c>
      <c r="B921" s="1">
        <v>5764.1961414790994</v>
      </c>
      <c r="C921" s="1">
        <v>581.6848874598071</v>
      </c>
      <c r="D921">
        <f>ROUND(store_performance[[#This Row],[AverageSales]]/store_performance[[#This Row],[AverageCustomers]],2)</f>
        <v>9.91</v>
      </c>
      <c r="E921" t="str">
        <f>_xlfn.XLOOKUP(store_performance[[#This Row],[Store]],store_clean[Store],store_clean[StoreType],"Not Found")</f>
        <v>a</v>
      </c>
    </row>
    <row r="922" spans="1:5" x14ac:dyDescent="0.2">
      <c r="A922">
        <v>921</v>
      </c>
      <c r="B922" s="1">
        <v>9473.8948717948715</v>
      </c>
      <c r="C922" s="1">
        <v>1094.5935897435897</v>
      </c>
      <c r="D922">
        <f>ROUND(store_performance[[#This Row],[AverageSales]]/store_performance[[#This Row],[AverageCustomers]],2)</f>
        <v>8.66</v>
      </c>
      <c r="E922" t="str">
        <f>_xlfn.XLOOKUP(store_performance[[#This Row],[Store]],store_clean[Store],store_clean[StoreType],"Not Found")</f>
        <v>a</v>
      </c>
    </row>
    <row r="923" spans="1:5" x14ac:dyDescent="0.2">
      <c r="A923">
        <v>922</v>
      </c>
      <c r="B923" s="1">
        <v>7405.8464516129034</v>
      </c>
      <c r="C923" s="1">
        <v>713.42451612903221</v>
      </c>
      <c r="D923">
        <f>ROUND(store_performance[[#This Row],[AverageSales]]/store_performance[[#This Row],[AverageCustomers]],2)</f>
        <v>10.38</v>
      </c>
      <c r="E923" t="str">
        <f>_xlfn.XLOOKUP(store_performance[[#This Row],[Store]],store_clean[Store],store_clean[StoreType],"Not Found")</f>
        <v>d</v>
      </c>
    </row>
    <row r="924" spans="1:5" x14ac:dyDescent="0.2">
      <c r="A924">
        <v>923</v>
      </c>
      <c r="B924" s="1">
        <v>5315.3443877551017</v>
      </c>
      <c r="C924" s="1">
        <v>640.09566326530614</v>
      </c>
      <c r="D924">
        <f>ROUND(store_performance[[#This Row],[AverageSales]]/store_performance[[#This Row],[AverageCustomers]],2)</f>
        <v>8.3000000000000007</v>
      </c>
      <c r="E924" t="str">
        <f>_xlfn.XLOOKUP(store_performance[[#This Row],[Store]],store_clean[Store],store_clean[StoreType],"Not Found")</f>
        <v>a</v>
      </c>
    </row>
    <row r="925" spans="1:5" x14ac:dyDescent="0.2">
      <c r="A925">
        <v>924</v>
      </c>
      <c r="B925" s="1">
        <v>4752.8831835686779</v>
      </c>
      <c r="C925" s="1">
        <v>450.14505776636713</v>
      </c>
      <c r="D925">
        <f>ROUND(store_performance[[#This Row],[AverageSales]]/store_performance[[#This Row],[AverageCustomers]],2)</f>
        <v>10.56</v>
      </c>
      <c r="E925" t="str">
        <f>_xlfn.XLOOKUP(store_performance[[#This Row],[Store]],store_clean[Store],store_clean[StoreType],"Not Found")</f>
        <v>a</v>
      </c>
    </row>
    <row r="926" spans="1:5" x14ac:dyDescent="0.2">
      <c r="A926">
        <v>925</v>
      </c>
      <c r="B926" s="1">
        <v>6693.7113133940184</v>
      </c>
      <c r="C926" s="1">
        <v>1198.8751625487646</v>
      </c>
      <c r="D926">
        <f>ROUND(store_performance[[#This Row],[AverageSales]]/store_performance[[#This Row],[AverageCustomers]],2)</f>
        <v>5.58</v>
      </c>
      <c r="E926" t="str">
        <f>_xlfn.XLOOKUP(store_performance[[#This Row],[Store]],store_clean[Store],store_clean[StoreType],"Not Found")</f>
        <v>c</v>
      </c>
    </row>
    <row r="927" spans="1:5" x14ac:dyDescent="0.2">
      <c r="A927">
        <v>926</v>
      </c>
      <c r="B927" s="1">
        <v>7260.5879332477534</v>
      </c>
      <c r="C927" s="1">
        <v>542.63029525032096</v>
      </c>
      <c r="D927">
        <f>ROUND(store_performance[[#This Row],[AverageSales]]/store_performance[[#This Row],[AverageCustomers]],2)</f>
        <v>13.38</v>
      </c>
      <c r="E927" t="str">
        <f>_xlfn.XLOOKUP(store_performance[[#This Row],[Store]],store_clean[Store],store_clean[StoreType],"Not Found")</f>
        <v>d</v>
      </c>
    </row>
    <row r="928" spans="1:5" x14ac:dyDescent="0.2">
      <c r="A928">
        <v>927</v>
      </c>
      <c r="B928" s="1">
        <v>6553.6113989637306</v>
      </c>
      <c r="C928" s="1">
        <v>871.40673575129529</v>
      </c>
      <c r="D928">
        <f>ROUND(store_performance[[#This Row],[AverageSales]]/store_performance[[#This Row],[AverageCustomers]],2)</f>
        <v>7.52</v>
      </c>
      <c r="E928" t="str">
        <f>_xlfn.XLOOKUP(store_performance[[#This Row],[Store]],store_clean[Store],store_clean[StoreType],"Not Found")</f>
        <v>a</v>
      </c>
    </row>
    <row r="929" spans="1:5" x14ac:dyDescent="0.2">
      <c r="A929">
        <v>928</v>
      </c>
      <c r="B929" s="1">
        <v>8014.6829268292686</v>
      </c>
      <c r="C929" s="1">
        <v>692.61232349165596</v>
      </c>
      <c r="D929">
        <f>ROUND(store_performance[[#This Row],[AverageSales]]/store_performance[[#This Row],[AverageCustomers]],2)</f>
        <v>11.57</v>
      </c>
      <c r="E929" t="str">
        <f>_xlfn.XLOOKUP(store_performance[[#This Row],[Store]],store_clean[Store],store_clean[StoreType],"Not Found")</f>
        <v>d</v>
      </c>
    </row>
    <row r="930" spans="1:5" x14ac:dyDescent="0.2">
      <c r="A930">
        <v>929</v>
      </c>
      <c r="B930" s="1">
        <v>5815.345663265306</v>
      </c>
      <c r="C930" s="1">
        <v>711.15816326530614</v>
      </c>
      <c r="D930">
        <f>ROUND(store_performance[[#This Row],[AverageSales]]/store_performance[[#This Row],[AverageCustomers]],2)</f>
        <v>8.18</v>
      </c>
      <c r="E930" t="str">
        <f>_xlfn.XLOOKUP(store_performance[[#This Row],[Store]],store_clean[Store],store_clean[StoreType],"Not Found")</f>
        <v>a</v>
      </c>
    </row>
    <row r="931" spans="1:5" x14ac:dyDescent="0.2">
      <c r="A931">
        <v>930</v>
      </c>
      <c r="B931" s="1">
        <v>7150.1578947368425</v>
      </c>
      <c r="C931" s="1">
        <v>1170.7008985879334</v>
      </c>
      <c r="D931">
        <f>ROUND(store_performance[[#This Row],[AverageSales]]/store_performance[[#This Row],[AverageCustomers]],2)</f>
        <v>6.11</v>
      </c>
      <c r="E931" t="str">
        <f>_xlfn.XLOOKUP(store_performance[[#This Row],[Store]],store_clean[Store],store_clean[StoreType],"Not Found")</f>
        <v>a</v>
      </c>
    </row>
    <row r="932" spans="1:5" x14ac:dyDescent="0.2">
      <c r="A932">
        <v>931</v>
      </c>
      <c r="B932" s="1">
        <v>3588.8388571428573</v>
      </c>
      <c r="C932" s="1">
        <v>441.70171428571427</v>
      </c>
      <c r="D932">
        <f>ROUND(store_performance[[#This Row],[AverageSales]]/store_performance[[#This Row],[AverageCustomers]],2)</f>
        <v>8.1300000000000008</v>
      </c>
      <c r="E932" t="str">
        <f>_xlfn.XLOOKUP(store_performance[[#This Row],[Store]],store_clean[Store],store_clean[StoreType],"Not Found")</f>
        <v>a</v>
      </c>
    </row>
    <row r="933" spans="1:5" x14ac:dyDescent="0.2">
      <c r="A933">
        <v>932</v>
      </c>
      <c r="B933" s="1">
        <v>7395.2086677367579</v>
      </c>
      <c r="C933" s="1">
        <v>731.06741573033707</v>
      </c>
      <c r="D933">
        <f>ROUND(store_performance[[#This Row],[AverageSales]]/store_performance[[#This Row],[AverageCustomers]],2)</f>
        <v>10.119999999999999</v>
      </c>
      <c r="E933" t="str">
        <f>_xlfn.XLOOKUP(store_performance[[#This Row],[Store]],store_clean[Store],store_clean[StoreType],"Not Found")</f>
        <v>a</v>
      </c>
    </row>
    <row r="934" spans="1:5" x14ac:dyDescent="0.2">
      <c r="A934">
        <v>933</v>
      </c>
      <c r="B934" s="1">
        <v>7331.4794871794875</v>
      </c>
      <c r="C934" s="1">
        <v>905.29230769230765</v>
      </c>
      <c r="D934">
        <f>ROUND(store_performance[[#This Row],[AverageSales]]/store_performance[[#This Row],[AverageCustomers]],2)</f>
        <v>8.1</v>
      </c>
      <c r="E934" t="str">
        <f>_xlfn.XLOOKUP(store_performance[[#This Row],[Store]],store_clean[Store],store_clean[StoreType],"Not Found")</f>
        <v>a</v>
      </c>
    </row>
    <row r="935" spans="1:5" x14ac:dyDescent="0.2">
      <c r="A935">
        <v>934</v>
      </c>
      <c r="B935" s="1">
        <v>6763.6200256739412</v>
      </c>
      <c r="C935" s="1">
        <v>679.61103979460847</v>
      </c>
      <c r="D935">
        <f>ROUND(store_performance[[#This Row],[AverageSales]]/store_performance[[#This Row],[AverageCustomers]],2)</f>
        <v>9.9499999999999993</v>
      </c>
      <c r="E935" t="str">
        <f>_xlfn.XLOOKUP(store_performance[[#This Row],[Store]],store_clean[Store],store_clean[StoreType],"Not Found")</f>
        <v>a</v>
      </c>
    </row>
    <row r="936" spans="1:5" x14ac:dyDescent="0.2">
      <c r="A936">
        <v>935</v>
      </c>
      <c r="B936" s="1">
        <v>5650.7053571428569</v>
      </c>
      <c r="C936" s="1">
        <v>600.42602040816325</v>
      </c>
      <c r="D936">
        <f>ROUND(store_performance[[#This Row],[AverageSales]]/store_performance[[#This Row],[AverageCustomers]],2)</f>
        <v>9.41</v>
      </c>
      <c r="E936" t="str">
        <f>_xlfn.XLOOKUP(store_performance[[#This Row],[Store]],store_clean[Store],store_clean[StoreType],"Not Found")</f>
        <v>a</v>
      </c>
    </row>
    <row r="937" spans="1:5" x14ac:dyDescent="0.2">
      <c r="A937">
        <v>936</v>
      </c>
      <c r="B937" s="1">
        <v>7056.2849807445446</v>
      </c>
      <c r="C937" s="1">
        <v>891.38639281129656</v>
      </c>
      <c r="D937">
        <f>ROUND(store_performance[[#This Row],[AverageSales]]/store_performance[[#This Row],[AverageCustomers]],2)</f>
        <v>7.92</v>
      </c>
      <c r="E937" t="str">
        <f>_xlfn.XLOOKUP(store_performance[[#This Row],[Store]],store_clean[Store],store_clean[StoreType],"Not Found")</f>
        <v>a</v>
      </c>
    </row>
    <row r="938" spans="1:5" x14ac:dyDescent="0.2">
      <c r="A938">
        <v>937</v>
      </c>
      <c r="B938" s="1">
        <v>7232.900128040973</v>
      </c>
      <c r="C938" s="1">
        <v>585.48655569782329</v>
      </c>
      <c r="D938">
        <f>ROUND(store_performance[[#This Row],[AverageSales]]/store_performance[[#This Row],[AverageCustomers]],2)</f>
        <v>12.35</v>
      </c>
      <c r="E938" t="str">
        <f>_xlfn.XLOOKUP(store_performance[[#This Row],[Store]],store_clean[Store],store_clean[StoreType],"Not Found")</f>
        <v>d</v>
      </c>
    </row>
    <row r="939" spans="1:5" x14ac:dyDescent="0.2">
      <c r="A939">
        <v>938</v>
      </c>
      <c r="B939" s="1">
        <v>9408.1147959183672</v>
      </c>
      <c r="C939" s="1">
        <v>963.7079081632653</v>
      </c>
      <c r="D939">
        <f>ROUND(store_performance[[#This Row],[AverageSales]]/store_performance[[#This Row],[AverageCustomers]],2)</f>
        <v>9.76</v>
      </c>
      <c r="E939" t="str">
        <f>_xlfn.XLOOKUP(store_performance[[#This Row],[Store]],store_clean[Store],store_clean[StoreType],"Not Found")</f>
        <v>a</v>
      </c>
    </row>
    <row r="940" spans="1:5" x14ac:dyDescent="0.2">
      <c r="A940">
        <v>939</v>
      </c>
      <c r="B940" s="1">
        <v>5977.8498074454428</v>
      </c>
      <c r="C940" s="1">
        <v>576.50962772785624</v>
      </c>
      <c r="D940">
        <f>ROUND(store_performance[[#This Row],[AverageSales]]/store_performance[[#This Row],[AverageCustomers]],2)</f>
        <v>10.37</v>
      </c>
      <c r="E940" t="str">
        <f>_xlfn.XLOOKUP(store_performance[[#This Row],[Store]],store_clean[Store],store_clean[StoreType],"Not Found")</f>
        <v>d</v>
      </c>
    </row>
    <row r="941" spans="1:5" x14ac:dyDescent="0.2">
      <c r="A941">
        <v>940</v>
      </c>
      <c r="B941" s="1">
        <v>7252.5923076923073</v>
      </c>
      <c r="C941" s="1">
        <v>743.01794871794868</v>
      </c>
      <c r="D941">
        <f>ROUND(store_performance[[#This Row],[AverageSales]]/store_performance[[#This Row],[AverageCustomers]],2)</f>
        <v>9.76</v>
      </c>
      <c r="E941" t="str">
        <f>_xlfn.XLOOKUP(store_performance[[#This Row],[Store]],store_clean[Store],store_clean[StoreType],"Not Found")</f>
        <v>d</v>
      </c>
    </row>
    <row r="942" spans="1:5" x14ac:dyDescent="0.2">
      <c r="A942">
        <v>941</v>
      </c>
      <c r="B942" s="1">
        <v>5030.6382636655944</v>
      </c>
      <c r="C942" s="1">
        <v>554.09485530546624</v>
      </c>
      <c r="D942">
        <f>ROUND(store_performance[[#This Row],[AverageSales]]/store_performance[[#This Row],[AverageCustomers]],2)</f>
        <v>9.08</v>
      </c>
      <c r="E942" t="str">
        <f>_xlfn.XLOOKUP(store_performance[[#This Row],[Store]],store_clean[Store],store_clean[StoreType],"Not Found")</f>
        <v>a</v>
      </c>
    </row>
    <row r="943" spans="1:5" x14ac:dyDescent="0.2">
      <c r="A943">
        <v>942</v>
      </c>
      <c r="B943" s="1">
        <v>6058.3649167733674</v>
      </c>
      <c r="C943" s="1">
        <v>470.41741357234315</v>
      </c>
      <c r="D943">
        <f>ROUND(store_performance[[#This Row],[AverageSales]]/store_performance[[#This Row],[AverageCustomers]],2)</f>
        <v>12.88</v>
      </c>
      <c r="E943" t="str">
        <f>_xlfn.XLOOKUP(store_performance[[#This Row],[Store]],store_clean[Store],store_clean[StoreType],"Not Found")</f>
        <v>d</v>
      </c>
    </row>
    <row r="944" spans="1:5" x14ac:dyDescent="0.2">
      <c r="A944">
        <v>943</v>
      </c>
      <c r="B944" s="1">
        <v>6969.1835686777922</v>
      </c>
      <c r="C944" s="1">
        <v>605.82413350449292</v>
      </c>
      <c r="D944">
        <f>ROUND(store_performance[[#This Row],[AverageSales]]/store_performance[[#This Row],[AverageCustomers]],2)</f>
        <v>11.5</v>
      </c>
      <c r="E944" t="str">
        <f>_xlfn.XLOOKUP(store_performance[[#This Row],[Store]],store_clean[Store],store_clean[StoreType],"Not Found")</f>
        <v>d</v>
      </c>
    </row>
    <row r="945" spans="1:5" x14ac:dyDescent="0.2">
      <c r="A945">
        <v>944</v>
      </c>
      <c r="B945" s="1">
        <v>7930.5076530612241</v>
      </c>
      <c r="C945" s="1">
        <v>1229.5242346938776</v>
      </c>
      <c r="D945">
        <f>ROUND(store_performance[[#This Row],[AverageSales]]/store_performance[[#This Row],[AverageCustomers]],2)</f>
        <v>6.45</v>
      </c>
      <c r="E945" t="str">
        <f>_xlfn.XLOOKUP(store_performance[[#This Row],[Store]],store_clean[Store],store_clean[StoreType],"Not Found")</f>
        <v>c</v>
      </c>
    </row>
    <row r="946" spans="1:5" x14ac:dyDescent="0.2">
      <c r="A946">
        <v>945</v>
      </c>
      <c r="B946" s="1">
        <v>4374.9553571428569</v>
      </c>
      <c r="C946" s="1">
        <v>530.88647959183675</v>
      </c>
      <c r="D946">
        <f>ROUND(store_performance[[#This Row],[AverageSales]]/store_performance[[#This Row],[AverageCustomers]],2)</f>
        <v>8.24</v>
      </c>
      <c r="E946" t="str">
        <f>_xlfn.XLOOKUP(store_performance[[#This Row],[Store]],store_clean[Store],store_clean[StoreType],"Not Found")</f>
        <v>a</v>
      </c>
    </row>
    <row r="947" spans="1:5" x14ac:dyDescent="0.2">
      <c r="A947">
        <v>946</v>
      </c>
      <c r="B947" s="1">
        <v>4203.4274711168164</v>
      </c>
      <c r="C947" s="1">
        <v>532.63671373555837</v>
      </c>
      <c r="D947">
        <f>ROUND(store_performance[[#This Row],[AverageSales]]/store_performance[[#This Row],[AverageCustomers]],2)</f>
        <v>7.89</v>
      </c>
      <c r="E947" t="str">
        <f>_xlfn.XLOOKUP(store_performance[[#This Row],[Store]],store_clean[Store],store_clean[StoreType],"Not Found")</f>
        <v>a</v>
      </c>
    </row>
    <row r="948" spans="1:5" x14ac:dyDescent="0.2">
      <c r="A948">
        <v>947</v>
      </c>
      <c r="B948" s="1">
        <v>8392.3981841763944</v>
      </c>
      <c r="C948" s="1">
        <v>1140.2970168612192</v>
      </c>
      <c r="D948">
        <f>ROUND(store_performance[[#This Row],[AverageSales]]/store_performance[[#This Row],[AverageCustomers]],2)</f>
        <v>7.36</v>
      </c>
      <c r="E948" t="str">
        <f>_xlfn.XLOOKUP(store_performance[[#This Row],[Store]],store_clean[Store],store_clean[StoreType],"Not Found")</f>
        <v>a</v>
      </c>
    </row>
    <row r="949" spans="1:5" x14ac:dyDescent="0.2">
      <c r="A949">
        <v>948</v>
      </c>
      <c r="B949" s="1">
        <v>6936.7607758620688</v>
      </c>
      <c r="C949" s="1">
        <v>1712.4278017241379</v>
      </c>
      <c r="D949">
        <f>ROUND(store_performance[[#This Row],[AverageSales]]/store_performance[[#This Row],[AverageCustomers]],2)</f>
        <v>4.05</v>
      </c>
      <c r="E949" t="str">
        <f>_xlfn.XLOOKUP(store_performance[[#This Row],[Store]],store_clean[Store],store_clean[StoreType],"Not Found")</f>
        <v>b</v>
      </c>
    </row>
    <row r="950" spans="1:5" x14ac:dyDescent="0.2">
      <c r="A950">
        <v>949</v>
      </c>
      <c r="B950" s="1">
        <v>5350.0063775510207</v>
      </c>
      <c r="C950" s="1">
        <v>496.91198979591837</v>
      </c>
      <c r="D950">
        <f>ROUND(store_performance[[#This Row],[AverageSales]]/store_performance[[#This Row],[AverageCustomers]],2)</f>
        <v>10.77</v>
      </c>
      <c r="E950" t="str">
        <f>_xlfn.XLOOKUP(store_performance[[#This Row],[Store]],store_clean[Store],store_clean[StoreType],"Not Found")</f>
        <v>a</v>
      </c>
    </row>
    <row r="951" spans="1:5" x14ac:dyDescent="0.2">
      <c r="A951">
        <v>950</v>
      </c>
      <c r="B951" s="1">
        <v>5742.3174193548384</v>
      </c>
      <c r="C951" s="1">
        <v>562.31354838709683</v>
      </c>
      <c r="D951">
        <f>ROUND(store_performance[[#This Row],[AverageSales]]/store_performance[[#This Row],[AverageCustomers]],2)</f>
        <v>10.210000000000001</v>
      </c>
      <c r="E951" t="str">
        <f>_xlfn.XLOOKUP(store_performance[[#This Row],[Store]],store_clean[Store],store_clean[StoreType],"Not Found")</f>
        <v>a</v>
      </c>
    </row>
    <row r="952" spans="1:5" x14ac:dyDescent="0.2">
      <c r="A952">
        <v>951</v>
      </c>
      <c r="B952" s="1">
        <v>7776.9794608472403</v>
      </c>
      <c r="C952" s="1">
        <v>718.83311938382542</v>
      </c>
      <c r="D952">
        <f>ROUND(store_performance[[#This Row],[AverageSales]]/store_performance[[#This Row],[AverageCustomers]],2)</f>
        <v>10.82</v>
      </c>
      <c r="E952" t="str">
        <f>_xlfn.XLOOKUP(store_performance[[#This Row],[Store]],store_clean[Store],store_clean[StoreType],"Not Found")</f>
        <v>d</v>
      </c>
    </row>
    <row r="953" spans="1:5" x14ac:dyDescent="0.2">
      <c r="A953">
        <v>952</v>
      </c>
      <c r="B953" s="1">
        <v>6568.048231511254</v>
      </c>
      <c r="C953" s="1">
        <v>530.22025723472666</v>
      </c>
      <c r="D953">
        <f>ROUND(store_performance[[#This Row],[AverageSales]]/store_performance[[#This Row],[AverageCustomers]],2)</f>
        <v>12.39</v>
      </c>
      <c r="E953" t="str">
        <f>_xlfn.XLOOKUP(store_performance[[#This Row],[Store]],store_clean[Store],store_clean[StoreType],"Not Found")</f>
        <v>d</v>
      </c>
    </row>
    <row r="954" spans="1:5" x14ac:dyDescent="0.2">
      <c r="A954">
        <v>953</v>
      </c>
      <c r="B954" s="1">
        <v>5323.4552429667519</v>
      </c>
      <c r="C954" s="1">
        <v>542.59462915601023</v>
      </c>
      <c r="D954">
        <f>ROUND(store_performance[[#This Row],[AverageSales]]/store_performance[[#This Row],[AverageCustomers]],2)</f>
        <v>9.81</v>
      </c>
      <c r="E954" t="str">
        <f>_xlfn.XLOOKUP(store_performance[[#This Row],[Store]],store_clean[Store],store_clean[StoreType],"Not Found")</f>
        <v>a</v>
      </c>
    </row>
    <row r="955" spans="1:5" x14ac:dyDescent="0.2">
      <c r="A955">
        <v>954</v>
      </c>
      <c r="B955" s="1">
        <v>6966.0487804878048</v>
      </c>
      <c r="C955" s="1">
        <v>905.39794608472403</v>
      </c>
      <c r="D955">
        <f>ROUND(store_performance[[#This Row],[AverageSales]]/store_performance[[#This Row],[AverageCustomers]],2)</f>
        <v>7.69</v>
      </c>
      <c r="E955" t="str">
        <f>_xlfn.XLOOKUP(store_performance[[#This Row],[Store]],store_clean[Store],store_clean[StoreType],"Not Found")</f>
        <v>a</v>
      </c>
    </row>
    <row r="956" spans="1:5" x14ac:dyDescent="0.2">
      <c r="A956">
        <v>955</v>
      </c>
      <c r="B956" s="1">
        <v>4719.5494223363285</v>
      </c>
      <c r="C956" s="1">
        <v>456.70218228498072</v>
      </c>
      <c r="D956">
        <f>ROUND(store_performance[[#This Row],[AverageSales]]/store_performance[[#This Row],[AverageCustomers]],2)</f>
        <v>10.33</v>
      </c>
      <c r="E956" t="str">
        <f>_xlfn.XLOOKUP(store_performance[[#This Row],[Store]],store_clean[Store],store_clean[StoreType],"Not Found")</f>
        <v>d</v>
      </c>
    </row>
    <row r="957" spans="1:5" x14ac:dyDescent="0.2">
      <c r="A957">
        <v>956</v>
      </c>
      <c r="B957" s="1">
        <v>3855.9123711340208</v>
      </c>
      <c r="C957" s="1">
        <v>496.28608247422682</v>
      </c>
      <c r="D957">
        <f>ROUND(store_performance[[#This Row],[AverageSales]]/store_performance[[#This Row],[AverageCustomers]],2)</f>
        <v>7.77</v>
      </c>
      <c r="E957" t="str">
        <f>_xlfn.XLOOKUP(store_performance[[#This Row],[Store]],store_clean[Store],store_clean[StoreType],"Not Found")</f>
        <v>a</v>
      </c>
    </row>
    <row r="958" spans="1:5" x14ac:dyDescent="0.2">
      <c r="A958">
        <v>957</v>
      </c>
      <c r="B958" s="1">
        <v>7898.8852040816328</v>
      </c>
      <c r="C958" s="1">
        <v>850.66836734693879</v>
      </c>
      <c r="D958">
        <f>ROUND(store_performance[[#This Row],[AverageSales]]/store_performance[[#This Row],[AverageCustomers]],2)</f>
        <v>9.2899999999999991</v>
      </c>
      <c r="E958" t="str">
        <f>_xlfn.XLOOKUP(store_performance[[#This Row],[Store]],store_clean[Store],store_clean[StoreType],"Not Found")</f>
        <v>d</v>
      </c>
    </row>
    <row r="959" spans="1:5" x14ac:dyDescent="0.2">
      <c r="A959">
        <v>958</v>
      </c>
      <c r="B959" s="1">
        <v>4244.4323979591836</v>
      </c>
      <c r="C959" s="1">
        <v>562.73214285714289</v>
      </c>
      <c r="D959">
        <f>ROUND(store_performance[[#This Row],[AverageSales]]/store_performance[[#This Row],[AverageCustomers]],2)</f>
        <v>7.54</v>
      </c>
      <c r="E959" t="str">
        <f>_xlfn.XLOOKUP(store_performance[[#This Row],[Store]],store_clean[Store],store_clean[StoreType],"Not Found")</f>
        <v>a</v>
      </c>
    </row>
    <row r="960" spans="1:5" x14ac:dyDescent="0.2">
      <c r="A960">
        <v>959</v>
      </c>
      <c r="B960" s="1">
        <v>7051.4349489795923</v>
      </c>
      <c r="C960" s="1">
        <v>744.59566326530614</v>
      </c>
      <c r="D960">
        <f>ROUND(store_performance[[#This Row],[AverageSales]]/store_performance[[#This Row],[AverageCustomers]],2)</f>
        <v>9.4700000000000006</v>
      </c>
      <c r="E960" t="str">
        <f>_xlfn.XLOOKUP(store_performance[[#This Row],[Store]],store_clean[Store],store_clean[StoreType],"Not Found")</f>
        <v>a</v>
      </c>
    </row>
    <row r="961" spans="1:5" x14ac:dyDescent="0.2">
      <c r="A961">
        <v>960</v>
      </c>
      <c r="B961" s="1">
        <v>6723.6005121638927</v>
      </c>
      <c r="C961" s="1">
        <v>553.06145966709346</v>
      </c>
      <c r="D961">
        <f>ROUND(store_performance[[#This Row],[AverageSales]]/store_performance[[#This Row],[AverageCustomers]],2)</f>
        <v>12.16</v>
      </c>
      <c r="E961" t="str">
        <f>_xlfn.XLOOKUP(store_performance[[#This Row],[Store]],store_clean[Store],store_clean[StoreType],"Not Found")</f>
        <v>d</v>
      </c>
    </row>
    <row r="962" spans="1:5" x14ac:dyDescent="0.2">
      <c r="A962">
        <v>961</v>
      </c>
      <c r="B962" s="1">
        <v>6521.9358151476254</v>
      </c>
      <c r="C962" s="1">
        <v>688.83568677792039</v>
      </c>
      <c r="D962">
        <f>ROUND(store_performance[[#This Row],[AverageSales]]/store_performance[[#This Row],[AverageCustomers]],2)</f>
        <v>9.4700000000000006</v>
      </c>
      <c r="E962" t="str">
        <f>_xlfn.XLOOKUP(store_performance[[#This Row],[Store]],store_clean[Store],store_clean[StoreType],"Not Found")</f>
        <v>d</v>
      </c>
    </row>
    <row r="963" spans="1:5" x14ac:dyDescent="0.2">
      <c r="A963">
        <v>962</v>
      </c>
      <c r="B963" s="1">
        <v>6690.6148825065275</v>
      </c>
      <c r="C963" s="1">
        <v>908.74804177545695</v>
      </c>
      <c r="D963">
        <f>ROUND(store_performance[[#This Row],[AverageSales]]/store_performance[[#This Row],[AverageCustomers]],2)</f>
        <v>7.36</v>
      </c>
      <c r="E963" t="str">
        <f>_xlfn.XLOOKUP(store_performance[[#This Row],[Store]],store_clean[Store],store_clean[StoreType],"Not Found")</f>
        <v>c</v>
      </c>
    </row>
    <row r="964" spans="1:5" x14ac:dyDescent="0.2">
      <c r="A964">
        <v>963</v>
      </c>
      <c r="B964" s="1">
        <v>10764.320924261874</v>
      </c>
      <c r="C964" s="1">
        <v>1016.2130937098844</v>
      </c>
      <c r="D964">
        <f>ROUND(store_performance[[#This Row],[AverageSales]]/store_performance[[#This Row],[AverageCustomers]],2)</f>
        <v>10.59</v>
      </c>
      <c r="E964" t="str">
        <f>_xlfn.XLOOKUP(store_performance[[#This Row],[Store]],store_clean[Store],store_clean[StoreType],"Not Found")</f>
        <v>a</v>
      </c>
    </row>
    <row r="965" spans="1:5" x14ac:dyDescent="0.2">
      <c r="A965">
        <v>964</v>
      </c>
      <c r="B965" s="1">
        <v>9759.9727979274612</v>
      </c>
      <c r="C965" s="1">
        <v>1395.3031088082901</v>
      </c>
      <c r="D965">
        <f>ROUND(store_performance[[#This Row],[AverageSales]]/store_performance[[#This Row],[AverageCustomers]],2)</f>
        <v>6.99</v>
      </c>
      <c r="E965" t="str">
        <f>_xlfn.XLOOKUP(store_performance[[#This Row],[Store]],store_clean[Store],store_clean[StoreType],"Not Found")</f>
        <v>a</v>
      </c>
    </row>
    <row r="966" spans="1:5" x14ac:dyDescent="0.2">
      <c r="A966">
        <v>965</v>
      </c>
      <c r="B966" s="1">
        <v>8484.7631241997442</v>
      </c>
      <c r="C966" s="1">
        <v>905.48527528809223</v>
      </c>
      <c r="D966">
        <f>ROUND(store_performance[[#This Row],[AverageSales]]/store_performance[[#This Row],[AverageCustomers]],2)</f>
        <v>9.3699999999999992</v>
      </c>
      <c r="E966" t="str">
        <f>_xlfn.XLOOKUP(store_performance[[#This Row],[Store]],store_clean[Store],store_clean[StoreType],"Not Found")</f>
        <v>a</v>
      </c>
    </row>
    <row r="967" spans="1:5" x14ac:dyDescent="0.2">
      <c r="A967">
        <v>966</v>
      </c>
      <c r="B967" s="1">
        <v>4818.0783055198972</v>
      </c>
      <c r="C967" s="1">
        <v>610.25673940949935</v>
      </c>
      <c r="D967">
        <f>ROUND(store_performance[[#This Row],[AverageSales]]/store_performance[[#This Row],[AverageCustomers]],2)</f>
        <v>7.9</v>
      </c>
      <c r="E967" t="str">
        <f>_xlfn.XLOOKUP(store_performance[[#This Row],[Store]],store_clean[Store],store_clean[StoreType],"Not Found")</f>
        <v>a</v>
      </c>
    </row>
    <row r="968" spans="1:5" x14ac:dyDescent="0.2">
      <c r="A968">
        <v>967</v>
      </c>
      <c r="B968" s="1">
        <v>8641.1720154043651</v>
      </c>
      <c r="C968" s="1">
        <v>923.32477535301666</v>
      </c>
      <c r="D968">
        <f>ROUND(store_performance[[#This Row],[AverageSales]]/store_performance[[#This Row],[AverageCustomers]],2)</f>
        <v>9.36</v>
      </c>
      <c r="E968" t="str">
        <f>_xlfn.XLOOKUP(store_performance[[#This Row],[Store]],store_clean[Store],store_clean[StoreType],"Not Found")</f>
        <v>a</v>
      </c>
    </row>
    <row r="969" spans="1:5" x14ac:dyDescent="0.2">
      <c r="A969">
        <v>968</v>
      </c>
      <c r="B969" s="1">
        <v>7191.9769230769234</v>
      </c>
      <c r="C969" s="1">
        <v>875.9666666666667</v>
      </c>
      <c r="D969">
        <f>ROUND(store_performance[[#This Row],[AverageSales]]/store_performance[[#This Row],[AverageCustomers]],2)</f>
        <v>8.2100000000000009</v>
      </c>
      <c r="E969" t="str">
        <f>_xlfn.XLOOKUP(store_performance[[#This Row],[Store]],store_clean[Store],store_clean[StoreType],"Not Found")</f>
        <v>c</v>
      </c>
    </row>
    <row r="970" spans="1:5" x14ac:dyDescent="0.2">
      <c r="A970">
        <v>969</v>
      </c>
      <c r="B970" s="1">
        <v>3503.4662251655627</v>
      </c>
      <c r="C970" s="1">
        <v>599.13377483443708</v>
      </c>
      <c r="D970">
        <f>ROUND(store_performance[[#This Row],[AverageSales]]/store_performance[[#This Row],[AverageCustomers]],2)</f>
        <v>5.85</v>
      </c>
      <c r="E970" t="str">
        <f>_xlfn.XLOOKUP(store_performance[[#This Row],[Store]],store_clean[Store],store_clean[StoreType],"Not Found")</f>
        <v>a</v>
      </c>
    </row>
    <row r="971" spans="1:5" x14ac:dyDescent="0.2">
      <c r="A971">
        <v>970</v>
      </c>
      <c r="B971" s="1">
        <v>3295.7426376440462</v>
      </c>
      <c r="C971" s="1">
        <v>400.16901408450707</v>
      </c>
      <c r="D971">
        <f>ROUND(store_performance[[#This Row],[AverageSales]]/store_performance[[#This Row],[AverageCustomers]],2)</f>
        <v>8.24</v>
      </c>
      <c r="E971" t="str">
        <f>_xlfn.XLOOKUP(store_performance[[#This Row],[Store]],store_clean[Store],store_clean[StoreType],"Not Found")</f>
        <v>a</v>
      </c>
    </row>
    <row r="972" spans="1:5" x14ac:dyDescent="0.2">
      <c r="A972">
        <v>971</v>
      </c>
      <c r="B972" s="1">
        <v>8270.106080206986</v>
      </c>
      <c r="C972" s="1">
        <v>985.32858990944374</v>
      </c>
      <c r="D972">
        <f>ROUND(store_performance[[#This Row],[AverageSales]]/store_performance[[#This Row],[AverageCustomers]],2)</f>
        <v>8.39</v>
      </c>
      <c r="E972" t="str">
        <f>_xlfn.XLOOKUP(store_performance[[#This Row],[Store]],store_clean[Store],store_clean[StoreType],"Not Found")</f>
        <v>c</v>
      </c>
    </row>
    <row r="973" spans="1:5" x14ac:dyDescent="0.2">
      <c r="A973">
        <v>972</v>
      </c>
      <c r="B973" s="1">
        <v>3422.5455840455838</v>
      </c>
      <c r="C973" s="1">
        <v>387.80341880341882</v>
      </c>
      <c r="D973">
        <f>ROUND(store_performance[[#This Row],[AverageSales]]/store_performance[[#This Row],[AverageCustomers]],2)</f>
        <v>8.83</v>
      </c>
      <c r="E973" t="str">
        <f>_xlfn.XLOOKUP(store_performance[[#This Row],[Store]],store_clean[Store],store_clean[StoreType],"Not Found")</f>
        <v>a</v>
      </c>
    </row>
    <row r="974" spans="1:5" x14ac:dyDescent="0.2">
      <c r="A974">
        <v>973</v>
      </c>
      <c r="B974" s="1">
        <v>6440.9858793324775</v>
      </c>
      <c r="C974" s="1">
        <v>789.87291399229787</v>
      </c>
      <c r="D974">
        <f>ROUND(store_performance[[#This Row],[AverageSales]]/store_performance[[#This Row],[AverageCustomers]],2)</f>
        <v>8.15</v>
      </c>
      <c r="E974" t="str">
        <f>_xlfn.XLOOKUP(store_performance[[#This Row],[Store]],store_clean[Store],store_clean[StoreType],"Not Found")</f>
        <v>d</v>
      </c>
    </row>
    <row r="975" spans="1:5" x14ac:dyDescent="0.2">
      <c r="A975">
        <v>974</v>
      </c>
      <c r="B975" s="1">
        <v>11540.954983922829</v>
      </c>
      <c r="C975" s="1">
        <v>1561.4212218649518</v>
      </c>
      <c r="D975">
        <f>ROUND(store_performance[[#This Row],[AverageSales]]/store_performance[[#This Row],[AverageCustomers]],2)</f>
        <v>7.39</v>
      </c>
      <c r="E975" t="str">
        <f>_xlfn.XLOOKUP(store_performance[[#This Row],[Store]],store_clean[Store],store_clean[StoreType],"Not Found")</f>
        <v>a</v>
      </c>
    </row>
    <row r="976" spans="1:5" x14ac:dyDescent="0.2">
      <c r="A976">
        <v>975</v>
      </c>
      <c r="B976" s="1">
        <v>7715.7368421052633</v>
      </c>
      <c r="C976" s="1">
        <v>743.83311938382542</v>
      </c>
      <c r="D976">
        <f>ROUND(store_performance[[#This Row],[AverageSales]]/store_performance[[#This Row],[AverageCustomers]],2)</f>
        <v>10.37</v>
      </c>
      <c r="E976" t="str">
        <f>_xlfn.XLOOKUP(store_performance[[#This Row],[Store]],store_clean[Store],store_clean[StoreType],"Not Found")</f>
        <v>a</v>
      </c>
    </row>
    <row r="977" spans="1:5" x14ac:dyDescent="0.2">
      <c r="A977">
        <v>976</v>
      </c>
      <c r="B977" s="1">
        <v>6974.9653401797177</v>
      </c>
      <c r="C977" s="1">
        <v>717.7394094993582</v>
      </c>
      <c r="D977">
        <f>ROUND(store_performance[[#This Row],[AverageSales]]/store_performance[[#This Row],[AverageCustomers]],2)</f>
        <v>9.7200000000000006</v>
      </c>
      <c r="E977" t="str">
        <f>_xlfn.XLOOKUP(store_performance[[#This Row],[Store]],store_clean[Store],store_clean[StoreType],"Not Found")</f>
        <v>a</v>
      </c>
    </row>
    <row r="978" spans="1:5" x14ac:dyDescent="0.2">
      <c r="A978">
        <v>977</v>
      </c>
      <c r="B978" s="1">
        <v>4774.1428571428569</v>
      </c>
      <c r="C978" s="1">
        <v>510.58105939004815</v>
      </c>
      <c r="D978">
        <f>ROUND(store_performance[[#This Row],[AverageSales]]/store_performance[[#This Row],[AverageCustomers]],2)</f>
        <v>9.35</v>
      </c>
      <c r="E978" t="str">
        <f>_xlfn.XLOOKUP(store_performance[[#This Row],[Store]],store_clean[Store],store_clean[StoreType],"Not Found")</f>
        <v>a</v>
      </c>
    </row>
    <row r="979" spans="1:5" x14ac:dyDescent="0.2">
      <c r="A979">
        <v>978</v>
      </c>
      <c r="B979" s="1">
        <v>7213.5743589743588</v>
      </c>
      <c r="C979" s="1">
        <v>971.57692307692309</v>
      </c>
      <c r="D979">
        <f>ROUND(store_performance[[#This Row],[AverageSales]]/store_performance[[#This Row],[AverageCustomers]],2)</f>
        <v>7.42</v>
      </c>
      <c r="E979" t="str">
        <f>_xlfn.XLOOKUP(store_performance[[#This Row],[Store]],store_clean[Store],store_clean[StoreType],"Not Found")</f>
        <v>c</v>
      </c>
    </row>
    <row r="980" spans="1:5" x14ac:dyDescent="0.2">
      <c r="A980">
        <v>979</v>
      </c>
      <c r="B980" s="1">
        <v>6264.4603580562662</v>
      </c>
      <c r="C980" s="1">
        <v>636.38235294117646</v>
      </c>
      <c r="D980">
        <f>ROUND(store_performance[[#This Row],[AverageSales]]/store_performance[[#This Row],[AverageCustomers]],2)</f>
        <v>9.84</v>
      </c>
      <c r="E980" t="str">
        <f>_xlfn.XLOOKUP(store_performance[[#This Row],[Store]],store_clean[Store],store_clean[StoreType],"Not Found")</f>
        <v>a</v>
      </c>
    </row>
    <row r="981" spans="1:5" x14ac:dyDescent="0.2">
      <c r="A981">
        <v>980</v>
      </c>
      <c r="B981" s="1">
        <v>7019.6161745827985</v>
      </c>
      <c r="C981" s="1">
        <v>554.76765083440307</v>
      </c>
      <c r="D981">
        <f>ROUND(store_performance[[#This Row],[AverageSales]]/store_performance[[#This Row],[AverageCustomers]],2)</f>
        <v>12.65</v>
      </c>
      <c r="E981" t="str">
        <f>_xlfn.XLOOKUP(store_performance[[#This Row],[Store]],store_clean[Store],store_clean[StoreType],"Not Found")</f>
        <v>a</v>
      </c>
    </row>
    <row r="982" spans="1:5" x14ac:dyDescent="0.2">
      <c r="A982">
        <v>981</v>
      </c>
      <c r="B982" s="1">
        <v>7308.9128205128209</v>
      </c>
      <c r="C982" s="1">
        <v>754.22564102564104</v>
      </c>
      <c r="D982">
        <f>ROUND(store_performance[[#This Row],[AverageSales]]/store_performance[[#This Row],[AverageCustomers]],2)</f>
        <v>9.69</v>
      </c>
      <c r="E982" t="str">
        <f>_xlfn.XLOOKUP(store_performance[[#This Row],[Store]],store_clean[Store],store_clean[StoreType],"Not Found")</f>
        <v>d</v>
      </c>
    </row>
    <row r="983" spans="1:5" x14ac:dyDescent="0.2">
      <c r="A983">
        <v>982</v>
      </c>
      <c r="B983" s="1">
        <v>8058.2794871794868</v>
      </c>
      <c r="C983" s="1">
        <v>691.66282051282053</v>
      </c>
      <c r="D983">
        <f>ROUND(store_performance[[#This Row],[AverageSales]]/store_performance[[#This Row],[AverageCustomers]],2)</f>
        <v>11.65</v>
      </c>
      <c r="E983" t="str">
        <f>_xlfn.XLOOKUP(store_performance[[#This Row],[Store]],store_clean[Store],store_clean[StoreType],"Not Found")</f>
        <v>d</v>
      </c>
    </row>
    <row r="984" spans="1:5" x14ac:dyDescent="0.2">
      <c r="A984">
        <v>983</v>
      </c>
      <c r="B984" s="1">
        <v>10259.789405684754</v>
      </c>
      <c r="C984" s="1">
        <v>1379.9302325581396</v>
      </c>
      <c r="D984">
        <f>ROUND(store_performance[[#This Row],[AverageSales]]/store_performance[[#This Row],[AverageCustomers]],2)</f>
        <v>7.44</v>
      </c>
      <c r="E984" t="str">
        <f>_xlfn.XLOOKUP(store_performance[[#This Row],[Store]],store_clean[Store],store_clean[StoreType],"Not Found")</f>
        <v>a</v>
      </c>
    </row>
    <row r="985" spans="1:5" x14ac:dyDescent="0.2">
      <c r="A985">
        <v>984</v>
      </c>
      <c r="B985" s="1">
        <v>6067.2190721649486</v>
      </c>
      <c r="C985" s="1">
        <v>740.34922680412376</v>
      </c>
      <c r="D985">
        <f>ROUND(store_performance[[#This Row],[AverageSales]]/store_performance[[#This Row],[AverageCustomers]],2)</f>
        <v>8.1999999999999993</v>
      </c>
      <c r="E985" t="str">
        <f>_xlfn.XLOOKUP(store_performance[[#This Row],[Store]],store_clean[Store],store_clean[StoreType],"Not Found")</f>
        <v>c</v>
      </c>
    </row>
    <row r="986" spans="1:5" x14ac:dyDescent="0.2">
      <c r="A986">
        <v>985</v>
      </c>
      <c r="B986" s="1">
        <v>8387.2586872586871</v>
      </c>
      <c r="C986" s="1">
        <v>774.75418275418281</v>
      </c>
      <c r="D986">
        <f>ROUND(store_performance[[#This Row],[AverageSales]]/store_performance[[#This Row],[AverageCustomers]],2)</f>
        <v>10.83</v>
      </c>
      <c r="E986" t="str">
        <f>_xlfn.XLOOKUP(store_performance[[#This Row],[Store]],store_clean[Store],store_clean[StoreType],"Not Found")</f>
        <v>c</v>
      </c>
    </row>
    <row r="987" spans="1:5" x14ac:dyDescent="0.2">
      <c r="A987">
        <v>986</v>
      </c>
      <c r="B987" s="1">
        <v>6220.2525906735755</v>
      </c>
      <c r="C987" s="1">
        <v>828.08678756476684</v>
      </c>
      <c r="D987">
        <f>ROUND(store_performance[[#This Row],[AverageSales]]/store_performance[[#This Row],[AverageCustomers]],2)</f>
        <v>7.51</v>
      </c>
      <c r="E987" t="str">
        <f>_xlfn.XLOOKUP(store_performance[[#This Row],[Store]],store_clean[Store],store_clean[StoreType],"Not Found")</f>
        <v>a</v>
      </c>
    </row>
    <row r="988" spans="1:5" x14ac:dyDescent="0.2">
      <c r="A988">
        <v>987</v>
      </c>
      <c r="B988" s="1">
        <v>6847.3558673469388</v>
      </c>
      <c r="C988" s="1">
        <v>867.46556122448976</v>
      </c>
      <c r="D988">
        <f>ROUND(store_performance[[#This Row],[AverageSales]]/store_performance[[#This Row],[AverageCustomers]],2)</f>
        <v>7.89</v>
      </c>
      <c r="E988" t="str">
        <f>_xlfn.XLOOKUP(store_performance[[#This Row],[Store]],store_clean[Store],store_clean[StoreType],"Not Found")</f>
        <v>c</v>
      </c>
    </row>
    <row r="989" spans="1:5" x14ac:dyDescent="0.2">
      <c r="A989">
        <v>988</v>
      </c>
      <c r="B989" s="1">
        <v>4698.0714285714284</v>
      </c>
      <c r="C989" s="1">
        <v>722.50765306122446</v>
      </c>
      <c r="D989">
        <f>ROUND(store_performance[[#This Row],[AverageSales]]/store_performance[[#This Row],[AverageCustomers]],2)</f>
        <v>6.5</v>
      </c>
      <c r="E989" t="str">
        <f>_xlfn.XLOOKUP(store_performance[[#This Row],[Store]],store_clean[Store],store_clean[StoreType],"Not Found")</f>
        <v>a</v>
      </c>
    </row>
    <row r="990" spans="1:5" x14ac:dyDescent="0.2">
      <c r="A990">
        <v>989</v>
      </c>
      <c r="B990" s="1">
        <v>5242.4630225080382</v>
      </c>
      <c r="C990" s="1">
        <v>573.54501607717043</v>
      </c>
      <c r="D990">
        <f>ROUND(store_performance[[#This Row],[AverageSales]]/store_performance[[#This Row],[AverageCustomers]],2)</f>
        <v>9.14</v>
      </c>
      <c r="E990" t="str">
        <f>_xlfn.XLOOKUP(store_performance[[#This Row],[Store]],store_clean[Store],store_clean[StoreType],"Not Found")</f>
        <v>a</v>
      </c>
    </row>
    <row r="991" spans="1:5" x14ac:dyDescent="0.2">
      <c r="A991">
        <v>990</v>
      </c>
      <c r="B991" s="1">
        <v>6409.1346153846152</v>
      </c>
      <c r="C991" s="1">
        <v>573.48076923076928</v>
      </c>
      <c r="D991">
        <f>ROUND(store_performance[[#This Row],[AverageSales]]/store_performance[[#This Row],[AverageCustomers]],2)</f>
        <v>11.18</v>
      </c>
      <c r="E991" t="str">
        <f>_xlfn.XLOOKUP(store_performance[[#This Row],[Store]],store_clean[Store],store_clean[StoreType],"Not Found")</f>
        <v>d</v>
      </c>
    </row>
    <row r="992" spans="1:5" x14ac:dyDescent="0.2">
      <c r="A992">
        <v>991</v>
      </c>
      <c r="B992" s="1">
        <v>5756.7650834403084</v>
      </c>
      <c r="C992" s="1">
        <v>536.75096277278567</v>
      </c>
      <c r="D992">
        <f>ROUND(store_performance[[#This Row],[AverageSales]]/store_performance[[#This Row],[AverageCustomers]],2)</f>
        <v>10.73</v>
      </c>
      <c r="E992" t="str">
        <f>_xlfn.XLOOKUP(store_performance[[#This Row],[Store]],store_clean[Store],store_clean[StoreType],"Not Found")</f>
        <v>a</v>
      </c>
    </row>
    <row r="993" spans="1:5" x14ac:dyDescent="0.2">
      <c r="A993">
        <v>992</v>
      </c>
      <c r="B993" s="1">
        <v>5715.9910141206674</v>
      </c>
      <c r="C993" s="1">
        <v>701.14249037227216</v>
      </c>
      <c r="D993">
        <f>ROUND(store_performance[[#This Row],[AverageSales]]/store_performance[[#This Row],[AverageCustomers]],2)</f>
        <v>8.15</v>
      </c>
      <c r="E993" t="str">
        <f>_xlfn.XLOOKUP(store_performance[[#This Row],[Store]],store_clean[Store],store_clean[StoreType],"Not Found")</f>
        <v>a</v>
      </c>
    </row>
    <row r="994" spans="1:5" x14ac:dyDescent="0.2">
      <c r="A994">
        <v>993</v>
      </c>
      <c r="B994" s="1">
        <v>7618.0294871794868</v>
      </c>
      <c r="C994" s="1">
        <v>752.82948717948716</v>
      </c>
      <c r="D994">
        <f>ROUND(store_performance[[#This Row],[AverageSales]]/store_performance[[#This Row],[AverageCustomers]],2)</f>
        <v>10.119999999999999</v>
      </c>
      <c r="E994" t="str">
        <f>_xlfn.XLOOKUP(store_performance[[#This Row],[Store]],store_clean[Store],store_clean[StoreType],"Not Found")</f>
        <v>d</v>
      </c>
    </row>
    <row r="995" spans="1:5" x14ac:dyDescent="0.2">
      <c r="A995">
        <v>994</v>
      </c>
      <c r="B995" s="1">
        <v>4539.5160462130934</v>
      </c>
      <c r="C995" s="1">
        <v>442.01155327342747</v>
      </c>
      <c r="D995">
        <f>ROUND(store_performance[[#This Row],[AverageSales]]/store_performance[[#This Row],[AverageCustomers]],2)</f>
        <v>10.27</v>
      </c>
      <c r="E995" t="str">
        <f>_xlfn.XLOOKUP(store_performance[[#This Row],[Store]],store_clean[Store],store_clean[StoreType],"Not Found")</f>
        <v>a</v>
      </c>
    </row>
    <row r="996" spans="1:5" x14ac:dyDescent="0.2">
      <c r="A996">
        <v>995</v>
      </c>
      <c r="B996" s="1">
        <v>9264.3461538461543</v>
      </c>
      <c r="C996" s="1">
        <v>788.12051282051277</v>
      </c>
      <c r="D996">
        <f>ROUND(store_performance[[#This Row],[AverageSales]]/store_performance[[#This Row],[AverageCustomers]],2)</f>
        <v>11.75</v>
      </c>
      <c r="E996" t="str">
        <f>_xlfn.XLOOKUP(store_performance[[#This Row],[Store]],store_clean[Store],store_clean[StoreType],"Not Found")</f>
        <v>d</v>
      </c>
    </row>
    <row r="997" spans="1:5" x14ac:dyDescent="0.2">
      <c r="A997">
        <v>996</v>
      </c>
      <c r="B997" s="1">
        <v>6510.0469361147325</v>
      </c>
      <c r="C997" s="1">
        <v>696.71447196870929</v>
      </c>
      <c r="D997">
        <f>ROUND(store_performance[[#This Row],[AverageSales]]/store_performance[[#This Row],[AverageCustomers]],2)</f>
        <v>9.34</v>
      </c>
      <c r="E997" t="str">
        <f>_xlfn.XLOOKUP(store_performance[[#This Row],[Store]],store_clean[Store],store_clean[StoreType],"Not Found")</f>
        <v>c</v>
      </c>
    </row>
    <row r="998" spans="1:5" x14ac:dyDescent="0.2">
      <c r="A998">
        <v>997</v>
      </c>
      <c r="B998" s="1">
        <v>5157.918053777209</v>
      </c>
      <c r="C998" s="1">
        <v>412.32266325224072</v>
      </c>
      <c r="D998">
        <f>ROUND(store_performance[[#This Row],[AverageSales]]/store_performance[[#This Row],[AverageCustomers]],2)</f>
        <v>12.51</v>
      </c>
      <c r="E998" t="str">
        <f>_xlfn.XLOOKUP(store_performance[[#This Row],[Store]],store_clean[Store],store_clean[StoreType],"Not Found")</f>
        <v>d</v>
      </c>
    </row>
    <row r="999" spans="1:5" x14ac:dyDescent="0.2">
      <c r="A999">
        <v>998</v>
      </c>
      <c r="B999" s="1">
        <v>4316.9407979407979</v>
      </c>
      <c r="C999" s="1">
        <v>534.27670527670523</v>
      </c>
      <c r="D999">
        <f>ROUND(store_performance[[#This Row],[AverageSales]]/store_performance[[#This Row],[AverageCustomers]],2)</f>
        <v>8.08</v>
      </c>
      <c r="E999" t="str">
        <f>_xlfn.XLOOKUP(store_performance[[#This Row],[Store]],store_clean[Store],store_clean[StoreType],"Not Found")</f>
        <v>a</v>
      </c>
    </row>
    <row r="1000" spans="1:5" x14ac:dyDescent="0.2">
      <c r="A1000">
        <v>999</v>
      </c>
      <c r="B1000" s="1">
        <v>9183.7448717948719</v>
      </c>
      <c r="C1000" s="1">
        <v>660.40128205128201</v>
      </c>
      <c r="D1000">
        <f>ROUND(store_performance[[#This Row],[AverageSales]]/store_performance[[#This Row],[AverageCustomers]],2)</f>
        <v>13.91</v>
      </c>
      <c r="E1000" t="str">
        <f>_xlfn.XLOOKUP(store_performance[[#This Row],[Store]],store_clean[Store],store_clean[StoreType],"Not Found")</f>
        <v>d</v>
      </c>
    </row>
    <row r="1001" spans="1:5" x14ac:dyDescent="0.2">
      <c r="A1001">
        <v>1000</v>
      </c>
      <c r="B1001" s="1">
        <v>7452.6125401929257</v>
      </c>
      <c r="C1001" s="1">
        <v>681.14951768488743</v>
      </c>
      <c r="D1001">
        <f>ROUND(store_performance[[#This Row],[AverageSales]]/store_performance[[#This Row],[AverageCustomers]],2)</f>
        <v>10.94</v>
      </c>
      <c r="E1001" t="str">
        <f>_xlfn.XLOOKUP(store_performance[[#This Row],[Store]],store_clean[Store],store_clean[StoreType],"Not Found")</f>
        <v>a</v>
      </c>
    </row>
    <row r="1002" spans="1:5" x14ac:dyDescent="0.2">
      <c r="A1002">
        <v>1001</v>
      </c>
      <c r="B1002" s="1">
        <v>5420.7212276214832</v>
      </c>
      <c r="C1002" s="1">
        <v>621.002557544757</v>
      </c>
      <c r="D1002">
        <f>ROUND(store_performance[[#This Row],[AverageSales]]/store_performance[[#This Row],[AverageCustomers]],2)</f>
        <v>8.73</v>
      </c>
      <c r="E1002" t="str">
        <f>_xlfn.XLOOKUP(store_performance[[#This Row],[Store]],store_clean[Store],store_clean[StoreType],"Not Found")</f>
        <v>c</v>
      </c>
    </row>
    <row r="1003" spans="1:5" x14ac:dyDescent="0.2">
      <c r="A1003">
        <v>1002</v>
      </c>
      <c r="B1003" s="1">
        <v>6063.5076530612241</v>
      </c>
      <c r="C1003" s="1">
        <v>717.36862244897964</v>
      </c>
      <c r="D1003">
        <f>ROUND(store_performance[[#This Row],[AverageSales]]/store_performance[[#This Row],[AverageCustomers]],2)</f>
        <v>8.4499999999999993</v>
      </c>
      <c r="E1003" t="str">
        <f>_xlfn.XLOOKUP(store_performance[[#This Row],[Store]],store_clean[Store],store_clean[StoreType],"Not Found")</f>
        <v>d</v>
      </c>
    </row>
    <row r="1004" spans="1:5" x14ac:dyDescent="0.2">
      <c r="A1004">
        <v>1003</v>
      </c>
      <c r="B1004" s="1">
        <v>7382.8035943517334</v>
      </c>
      <c r="C1004" s="1">
        <v>773.10654685494228</v>
      </c>
      <c r="D1004">
        <f>ROUND(store_performance[[#This Row],[AverageSales]]/store_performance[[#This Row],[AverageCustomers]],2)</f>
        <v>9.5500000000000007</v>
      </c>
      <c r="E1004" t="str">
        <f>_xlfn.XLOOKUP(store_performance[[#This Row],[Store]],store_clean[Store],store_clean[StoreType],"Not Found")</f>
        <v>a</v>
      </c>
    </row>
    <row r="1005" spans="1:5" x14ac:dyDescent="0.2">
      <c r="A1005">
        <v>1004</v>
      </c>
      <c r="B1005" s="1">
        <v>5165.4453376205784</v>
      </c>
      <c r="C1005" s="1">
        <v>451.90032154340838</v>
      </c>
      <c r="D1005">
        <f>ROUND(store_performance[[#This Row],[AverageSales]]/store_performance[[#This Row],[AverageCustomers]],2)</f>
        <v>11.43</v>
      </c>
      <c r="E1005" t="str">
        <f>_xlfn.XLOOKUP(store_performance[[#This Row],[Store]],store_clean[Store],store_clean[StoreType],"Not Found")</f>
        <v>d</v>
      </c>
    </row>
    <row r="1006" spans="1:5" x14ac:dyDescent="0.2">
      <c r="A1006">
        <v>1005</v>
      </c>
      <c r="B1006" s="1">
        <v>6205.9807445442875</v>
      </c>
      <c r="C1006" s="1">
        <v>936.69191270860074</v>
      </c>
      <c r="D1006">
        <f>ROUND(store_performance[[#This Row],[AverageSales]]/store_performance[[#This Row],[AverageCustomers]],2)</f>
        <v>6.63</v>
      </c>
      <c r="E1006" t="str">
        <f>_xlfn.XLOOKUP(store_performance[[#This Row],[Store]],store_clean[Store],store_clean[StoreType],"Not Found")</f>
        <v>a</v>
      </c>
    </row>
    <row r="1007" spans="1:5" x14ac:dyDescent="0.2">
      <c r="A1007">
        <v>1006</v>
      </c>
      <c r="B1007" s="1">
        <v>6371.9615384615381</v>
      </c>
      <c r="C1007" s="1">
        <v>866.25256410256407</v>
      </c>
      <c r="D1007">
        <f>ROUND(store_performance[[#This Row],[AverageSales]]/store_performance[[#This Row],[AverageCustomers]],2)</f>
        <v>7.36</v>
      </c>
      <c r="E1007" t="str">
        <f>_xlfn.XLOOKUP(store_performance[[#This Row],[Store]],store_clean[Store],store_clean[StoreType],"Not Found")</f>
        <v>c</v>
      </c>
    </row>
    <row r="1008" spans="1:5" x14ac:dyDescent="0.2">
      <c r="A1008">
        <v>1007</v>
      </c>
      <c r="B1008" s="1">
        <v>6996.2040816326535</v>
      </c>
      <c r="C1008" s="1">
        <v>816.1454081632653</v>
      </c>
      <c r="D1008">
        <f>ROUND(store_performance[[#This Row],[AverageSales]]/store_performance[[#This Row],[AverageCustomers]],2)</f>
        <v>8.57</v>
      </c>
      <c r="E1008" t="str">
        <f>_xlfn.XLOOKUP(store_performance[[#This Row],[Store]],store_clean[Store],store_clean[StoreType],"Not Found")</f>
        <v>c</v>
      </c>
    </row>
    <row r="1009" spans="1:5" x14ac:dyDescent="0.2">
      <c r="A1009">
        <v>1008</v>
      </c>
      <c r="B1009" s="1">
        <v>5331.1033163265311</v>
      </c>
      <c r="C1009" s="1">
        <v>716.65178571428567</v>
      </c>
      <c r="D1009">
        <f>ROUND(store_performance[[#This Row],[AverageSales]]/store_performance[[#This Row],[AverageCustomers]],2)</f>
        <v>7.44</v>
      </c>
      <c r="E1009" t="str">
        <f>_xlfn.XLOOKUP(store_performance[[#This Row],[Store]],store_clean[Store],store_clean[StoreType],"Not Found")</f>
        <v>a</v>
      </c>
    </row>
    <row r="1010" spans="1:5" x14ac:dyDescent="0.2">
      <c r="A1010">
        <v>1009</v>
      </c>
      <c r="B1010" s="1">
        <v>4772.1848874598072</v>
      </c>
      <c r="C1010" s="1">
        <v>458.14951768488748</v>
      </c>
      <c r="D1010">
        <f>ROUND(store_performance[[#This Row],[AverageSales]]/store_performance[[#This Row],[AverageCustomers]],2)</f>
        <v>10.42</v>
      </c>
      <c r="E1010" t="str">
        <f>_xlfn.XLOOKUP(store_performance[[#This Row],[Store]],store_clean[Store],store_clean[StoreType],"Not Found")</f>
        <v>a</v>
      </c>
    </row>
    <row r="1011" spans="1:5" x14ac:dyDescent="0.2">
      <c r="A1011">
        <v>1010</v>
      </c>
      <c r="B1011" s="1">
        <v>8874.1568877551017</v>
      </c>
      <c r="C1011" s="1">
        <v>807.47066326530614</v>
      </c>
      <c r="D1011">
        <f>ROUND(store_performance[[#This Row],[AverageSales]]/store_performance[[#This Row],[AverageCustomers]],2)</f>
        <v>10.99</v>
      </c>
      <c r="E1011" t="str">
        <f>_xlfn.XLOOKUP(store_performance[[#This Row],[Store]],store_clean[Store],store_clean[StoreType],"Not Found")</f>
        <v>d</v>
      </c>
    </row>
    <row r="1012" spans="1:5" x14ac:dyDescent="0.2">
      <c r="A1012">
        <v>1011</v>
      </c>
      <c r="B1012" s="1">
        <v>7878.237483953787</v>
      </c>
      <c r="C1012" s="1">
        <v>943.32734274711163</v>
      </c>
      <c r="D1012">
        <f>ROUND(store_performance[[#This Row],[AverageSales]]/store_performance[[#This Row],[AverageCustomers]],2)</f>
        <v>8.35</v>
      </c>
      <c r="E1012" t="str">
        <f>_xlfn.XLOOKUP(store_performance[[#This Row],[Store]],store_clean[Store],store_clean[StoreType],"Not Found")</f>
        <v>a</v>
      </c>
    </row>
    <row r="1013" spans="1:5" x14ac:dyDescent="0.2">
      <c r="A1013">
        <v>1012</v>
      </c>
      <c r="B1013" s="1">
        <v>6049.7106109324759</v>
      </c>
      <c r="C1013" s="1">
        <v>517.01286173633446</v>
      </c>
      <c r="D1013">
        <f>ROUND(store_performance[[#This Row],[AverageSales]]/store_performance[[#This Row],[AverageCustomers]],2)</f>
        <v>11.7</v>
      </c>
      <c r="E1013" t="str">
        <f>_xlfn.XLOOKUP(store_performance[[#This Row],[Store]],store_clean[Store],store_clean[StoreType],"Not Found")</f>
        <v>d</v>
      </c>
    </row>
    <row r="1014" spans="1:5" x14ac:dyDescent="0.2">
      <c r="A1014">
        <v>1013</v>
      </c>
      <c r="B1014" s="1">
        <v>3993.560975609756</v>
      </c>
      <c r="C1014" s="1">
        <v>443.14120667522462</v>
      </c>
      <c r="D1014">
        <f>ROUND(store_performance[[#This Row],[AverageSales]]/store_performance[[#This Row],[AverageCustomers]],2)</f>
        <v>9.01</v>
      </c>
      <c r="E1014" t="str">
        <f>_xlfn.XLOOKUP(store_performance[[#This Row],[Store]],store_clean[Store],store_clean[StoreType],"Not Found")</f>
        <v>a</v>
      </c>
    </row>
    <row r="1015" spans="1:5" x14ac:dyDescent="0.2">
      <c r="A1015">
        <v>1014</v>
      </c>
      <c r="B1015" s="1">
        <v>12206.806161745828</v>
      </c>
      <c r="C1015" s="1">
        <v>1349.6469833119384</v>
      </c>
      <c r="D1015">
        <f>ROUND(store_performance[[#This Row],[AverageSales]]/store_performance[[#This Row],[AverageCustomers]],2)</f>
        <v>9.0399999999999991</v>
      </c>
      <c r="E1015" t="str">
        <f>_xlfn.XLOOKUP(store_performance[[#This Row],[Store]],store_clean[Store],store_clean[StoreType],"Not Found")</f>
        <v>a</v>
      </c>
    </row>
    <row r="1016" spans="1:5" x14ac:dyDescent="0.2">
      <c r="A1016">
        <v>1015</v>
      </c>
      <c r="B1016" s="1">
        <v>6040.0295250320924</v>
      </c>
      <c r="C1016" s="1">
        <v>492.47496790757378</v>
      </c>
      <c r="D1016">
        <f>ROUND(store_performance[[#This Row],[AverageSales]]/store_performance[[#This Row],[AverageCustomers]],2)</f>
        <v>12.26</v>
      </c>
      <c r="E1016" t="str">
        <f>_xlfn.XLOOKUP(store_performance[[#This Row],[Store]],store_clean[Store],store_clean[StoreType],"Not Found")</f>
        <v>d</v>
      </c>
    </row>
    <row r="1017" spans="1:5" x14ac:dyDescent="0.2">
      <c r="A1017">
        <v>1016</v>
      </c>
      <c r="B1017" s="1">
        <v>5409.4146341463411</v>
      </c>
      <c r="C1017" s="1">
        <v>500.19255455712454</v>
      </c>
      <c r="D1017">
        <f>ROUND(store_performance[[#This Row],[AverageSales]]/store_performance[[#This Row],[AverageCustomers]],2)</f>
        <v>10.81</v>
      </c>
      <c r="E1017" t="str">
        <f>_xlfn.XLOOKUP(store_performance[[#This Row],[Store]],store_clean[Store],store_clean[StoreType],"Not Found")</f>
        <v>c</v>
      </c>
    </row>
    <row r="1018" spans="1:5" x14ac:dyDescent="0.2">
      <c r="A1018">
        <v>1017</v>
      </c>
      <c r="B1018" s="1">
        <v>7203.4291287386213</v>
      </c>
      <c r="C1018" s="1">
        <v>1015.7542262678803</v>
      </c>
      <c r="D1018">
        <f>ROUND(store_performance[[#This Row],[AverageSales]]/store_performance[[#This Row],[AverageCustomers]],2)</f>
        <v>7.09</v>
      </c>
      <c r="E1018" t="str">
        <f>_xlfn.XLOOKUP(store_performance[[#This Row],[Store]],store_clean[Store],store_clean[StoreType],"Not Found")</f>
        <v>c</v>
      </c>
    </row>
    <row r="1019" spans="1:5" x14ac:dyDescent="0.2">
      <c r="A1019">
        <v>1018</v>
      </c>
      <c r="B1019" s="1">
        <v>11748.342710997442</v>
      </c>
      <c r="C1019" s="1">
        <v>1359.4782608695652</v>
      </c>
      <c r="D1019">
        <f>ROUND(store_performance[[#This Row],[AverageSales]]/store_performance[[#This Row],[AverageCustomers]],2)</f>
        <v>8.64</v>
      </c>
      <c r="E1019" t="str">
        <f>_xlfn.XLOOKUP(store_performance[[#This Row],[Store]],store_clean[Store],store_clean[StoreType],"Not Found")</f>
        <v>c</v>
      </c>
    </row>
    <row r="1020" spans="1:5" x14ac:dyDescent="0.2">
      <c r="A1020">
        <v>1019</v>
      </c>
      <c r="B1020" s="1">
        <v>9071.0048154093092</v>
      </c>
      <c r="C1020" s="1">
        <v>753.56821829855539</v>
      </c>
      <c r="D1020">
        <f>ROUND(store_performance[[#This Row],[AverageSales]]/store_performance[[#This Row],[AverageCustomers]],2)</f>
        <v>12.04</v>
      </c>
      <c r="E1020" t="str">
        <f>_xlfn.XLOOKUP(store_performance[[#This Row],[Store]],store_clean[Store],store_clean[StoreType],"Not Found")</f>
        <v>d</v>
      </c>
    </row>
    <row r="1021" spans="1:5" x14ac:dyDescent="0.2">
      <c r="A1021">
        <v>1020</v>
      </c>
      <c r="B1021" s="1">
        <v>9032.4519846350831</v>
      </c>
      <c r="C1021" s="1">
        <v>1109.9103713188219</v>
      </c>
      <c r="D1021">
        <f>ROUND(store_performance[[#This Row],[AverageSales]]/store_performance[[#This Row],[AverageCustomers]],2)</f>
        <v>8.14</v>
      </c>
      <c r="E1021" t="str">
        <f>_xlfn.XLOOKUP(store_performance[[#This Row],[Store]],store_clean[Store],store_clean[StoreType],"Not Found")</f>
        <v>a</v>
      </c>
    </row>
    <row r="1022" spans="1:5" x14ac:dyDescent="0.2">
      <c r="A1022">
        <v>1021</v>
      </c>
      <c r="B1022" s="1">
        <v>8877.7480519480523</v>
      </c>
      <c r="C1022" s="1">
        <v>1062.0090909090909</v>
      </c>
      <c r="D1022">
        <f>ROUND(store_performance[[#This Row],[AverageSales]]/store_performance[[#This Row],[AverageCustomers]],2)</f>
        <v>8.36</v>
      </c>
      <c r="E1022" t="str">
        <f>_xlfn.XLOOKUP(store_performance[[#This Row],[Store]],store_clean[Store],store_clean[StoreType],"Not Found")</f>
        <v>a</v>
      </c>
    </row>
    <row r="1023" spans="1:5" x14ac:dyDescent="0.2">
      <c r="A1023">
        <v>1022</v>
      </c>
      <c r="B1023" s="1">
        <v>7325.0051347881899</v>
      </c>
      <c r="C1023" s="1">
        <v>823.02310654685493</v>
      </c>
      <c r="D1023">
        <f>ROUND(store_performance[[#This Row],[AverageSales]]/store_performance[[#This Row],[AverageCustomers]],2)</f>
        <v>8.9</v>
      </c>
      <c r="E1023" t="str">
        <f>_xlfn.XLOOKUP(store_performance[[#This Row],[Store]],store_clean[Store],store_clean[StoreType],"Not Found")</f>
        <v>a</v>
      </c>
    </row>
    <row r="1024" spans="1:5" x14ac:dyDescent="0.2">
      <c r="A1024">
        <v>1023</v>
      </c>
      <c r="B1024" s="1">
        <v>6152.6179487179488</v>
      </c>
      <c r="C1024" s="1">
        <v>630.16794871794866</v>
      </c>
      <c r="D1024">
        <f>ROUND(store_performance[[#This Row],[AverageSales]]/store_performance[[#This Row],[AverageCustomers]],2)</f>
        <v>9.76</v>
      </c>
      <c r="E1024" t="str">
        <f>_xlfn.XLOOKUP(store_performance[[#This Row],[Store]],store_clean[Store],store_clean[StoreType],"Not Found")</f>
        <v>c</v>
      </c>
    </row>
    <row r="1025" spans="1:5" x14ac:dyDescent="0.2">
      <c r="A1025">
        <v>1024</v>
      </c>
      <c r="B1025" s="1">
        <v>6135.470663265306</v>
      </c>
      <c r="C1025" s="1">
        <v>785.43367346938771</v>
      </c>
      <c r="D1025">
        <f>ROUND(store_performance[[#This Row],[AverageSales]]/store_performance[[#This Row],[AverageCustomers]],2)</f>
        <v>7.81</v>
      </c>
      <c r="E1025" t="str">
        <f>_xlfn.XLOOKUP(store_performance[[#This Row],[Store]],store_clean[Store],store_clean[StoreType],"Not Found")</f>
        <v>c</v>
      </c>
    </row>
    <row r="1026" spans="1:5" x14ac:dyDescent="0.2">
      <c r="A1026">
        <v>1025</v>
      </c>
      <c r="B1026" s="1">
        <v>7425.5012886597942</v>
      </c>
      <c r="C1026" s="1">
        <v>866.69974226804129</v>
      </c>
      <c r="D1026">
        <f>ROUND(store_performance[[#This Row],[AverageSales]]/store_performance[[#This Row],[AverageCustomers]],2)</f>
        <v>8.57</v>
      </c>
      <c r="E1026" t="str">
        <f>_xlfn.XLOOKUP(store_performance[[#This Row],[Store]],store_clean[Store],store_clean[StoreType],"Not Found")</f>
        <v>a</v>
      </c>
    </row>
    <row r="1027" spans="1:5" x14ac:dyDescent="0.2">
      <c r="A1027">
        <v>1026</v>
      </c>
      <c r="B1027" s="1">
        <v>9495.6161745827976</v>
      </c>
      <c r="C1027" s="1">
        <v>1180.2888318356868</v>
      </c>
      <c r="D1027">
        <f>ROUND(store_performance[[#This Row],[AverageSales]]/store_performance[[#This Row],[AverageCustomers]],2)</f>
        <v>8.0500000000000007</v>
      </c>
      <c r="E1027" t="str">
        <f>_xlfn.XLOOKUP(store_performance[[#This Row],[Store]],store_clean[Store],store_clean[StoreType],"Not Found")</f>
        <v>c</v>
      </c>
    </row>
    <row r="1028" spans="1:5" x14ac:dyDescent="0.2">
      <c r="A1028">
        <v>1027</v>
      </c>
      <c r="B1028" s="1">
        <v>13104.088282504013</v>
      </c>
      <c r="C1028" s="1">
        <v>1657.9325842696628</v>
      </c>
      <c r="D1028">
        <f>ROUND(store_performance[[#This Row],[AverageSales]]/store_performance[[#This Row],[AverageCustomers]],2)</f>
        <v>7.9</v>
      </c>
      <c r="E1028" t="str">
        <f>_xlfn.XLOOKUP(store_performance[[#This Row],[Store]],store_clean[Store],store_clean[StoreType],"Not Found")</f>
        <v>a</v>
      </c>
    </row>
    <row r="1029" spans="1:5" x14ac:dyDescent="0.2">
      <c r="A1029">
        <v>1028</v>
      </c>
      <c r="B1029" s="1">
        <v>4732.635430038511</v>
      </c>
      <c r="C1029" s="1">
        <v>546.58023106546852</v>
      </c>
      <c r="D1029">
        <f>ROUND(store_performance[[#This Row],[AverageSales]]/store_performance[[#This Row],[AverageCustomers]],2)</f>
        <v>8.66</v>
      </c>
      <c r="E1029" t="str">
        <f>_xlfn.XLOOKUP(store_performance[[#This Row],[Store]],store_clean[Store],store_clean[StoreType],"Not Found")</f>
        <v>a</v>
      </c>
    </row>
    <row r="1030" spans="1:5" x14ac:dyDescent="0.2">
      <c r="A1030">
        <v>1029</v>
      </c>
      <c r="B1030" s="1">
        <v>5416.4974358974359</v>
      </c>
      <c r="C1030" s="1">
        <v>757.72179487179483</v>
      </c>
      <c r="D1030">
        <f>ROUND(store_performance[[#This Row],[AverageSales]]/store_performance[[#This Row],[AverageCustomers]],2)</f>
        <v>7.15</v>
      </c>
      <c r="E1030" t="str">
        <f>_xlfn.XLOOKUP(store_performance[[#This Row],[Store]],store_clean[Store],store_clean[StoreType],"Not Found")</f>
        <v>a</v>
      </c>
    </row>
    <row r="1031" spans="1:5" x14ac:dyDescent="0.2">
      <c r="A1031">
        <v>1030</v>
      </c>
      <c r="B1031" s="1">
        <v>3610.6705128205126</v>
      </c>
      <c r="C1031" s="1">
        <v>331.91794871794872</v>
      </c>
      <c r="D1031">
        <f>ROUND(store_performance[[#This Row],[AverageSales]]/store_performance[[#This Row],[AverageCustomers]],2)</f>
        <v>10.88</v>
      </c>
      <c r="E1031" t="str">
        <f>_xlfn.XLOOKUP(store_performance[[#This Row],[Store]],store_clean[Store],store_clean[StoreType],"Not Found")</f>
        <v>a</v>
      </c>
    </row>
    <row r="1032" spans="1:5" x14ac:dyDescent="0.2">
      <c r="A1032">
        <v>1031</v>
      </c>
      <c r="B1032" s="1">
        <v>4843.85622593068</v>
      </c>
      <c r="C1032" s="1">
        <v>417.96919127086005</v>
      </c>
      <c r="D1032">
        <f>ROUND(store_performance[[#This Row],[AverageSales]]/store_performance[[#This Row],[AverageCustomers]],2)</f>
        <v>11.59</v>
      </c>
      <c r="E1032" t="str">
        <f>_xlfn.XLOOKUP(store_performance[[#This Row],[Store]],store_clean[Store],store_clean[StoreType],"Not Found")</f>
        <v>d</v>
      </c>
    </row>
    <row r="1033" spans="1:5" x14ac:dyDescent="0.2">
      <c r="A1033">
        <v>1032</v>
      </c>
      <c r="B1033" s="1">
        <v>9195.1987179487187</v>
      </c>
      <c r="C1033" s="1">
        <v>964.27692307692303</v>
      </c>
      <c r="D1033">
        <f>ROUND(store_performance[[#This Row],[AverageSales]]/store_performance[[#This Row],[AverageCustomers]],2)</f>
        <v>9.5399999999999991</v>
      </c>
      <c r="E1033" t="str">
        <f>_xlfn.XLOOKUP(store_performance[[#This Row],[Store]],store_clean[Store],store_clean[StoreType],"Not Found")</f>
        <v>d</v>
      </c>
    </row>
    <row r="1034" spans="1:5" x14ac:dyDescent="0.2">
      <c r="A1034">
        <v>1033</v>
      </c>
      <c r="B1034" s="1">
        <v>13865.140306122448</v>
      </c>
      <c r="C1034" s="1">
        <v>1299.2308673469388</v>
      </c>
      <c r="D1034">
        <f>ROUND(store_performance[[#This Row],[AverageSales]]/store_performance[[#This Row],[AverageCustomers]],2)</f>
        <v>10.67</v>
      </c>
      <c r="E1034" t="str">
        <f>_xlfn.XLOOKUP(store_performance[[#This Row],[Store]],store_clean[Store],store_clean[StoreType],"Not Found")</f>
        <v>a</v>
      </c>
    </row>
    <row r="1035" spans="1:5" x14ac:dyDescent="0.2">
      <c r="A1035">
        <v>1034</v>
      </c>
      <c r="B1035" s="1">
        <v>6503.7756410256407</v>
      </c>
      <c r="C1035" s="1">
        <v>728.39743589743591</v>
      </c>
      <c r="D1035">
        <f>ROUND(store_performance[[#This Row],[AverageSales]]/store_performance[[#This Row],[AverageCustomers]],2)</f>
        <v>8.93</v>
      </c>
      <c r="E1035" t="str">
        <f>_xlfn.XLOOKUP(store_performance[[#This Row],[Store]],store_clean[Store],store_clean[StoreType],"Not Found")</f>
        <v>a</v>
      </c>
    </row>
    <row r="1036" spans="1:5" x14ac:dyDescent="0.2">
      <c r="A1036">
        <v>1035</v>
      </c>
      <c r="B1036" s="1">
        <v>4876.6589743589748</v>
      </c>
      <c r="C1036" s="1">
        <v>577.46538461538466</v>
      </c>
      <c r="D1036">
        <f>ROUND(store_performance[[#This Row],[AverageSales]]/store_performance[[#This Row],[AverageCustomers]],2)</f>
        <v>8.44</v>
      </c>
      <c r="E1036" t="str">
        <f>_xlfn.XLOOKUP(store_performance[[#This Row],[Store]],store_clean[Store],store_clean[StoreType],"Not Found")</f>
        <v>a</v>
      </c>
    </row>
    <row r="1037" spans="1:5" x14ac:dyDescent="0.2">
      <c r="A1037">
        <v>1036</v>
      </c>
      <c r="B1037" s="1">
        <v>4986.2028241335047</v>
      </c>
      <c r="C1037" s="1">
        <v>471.59435173299102</v>
      </c>
      <c r="D1037">
        <f>ROUND(store_performance[[#This Row],[AverageSales]]/store_performance[[#This Row],[AverageCustomers]],2)</f>
        <v>10.57</v>
      </c>
      <c r="E1037" t="str">
        <f>_xlfn.XLOOKUP(store_performance[[#This Row],[Store]],store_clean[Store],store_clean[StoreType],"Not Found")</f>
        <v>d</v>
      </c>
    </row>
    <row r="1038" spans="1:5" x14ac:dyDescent="0.2">
      <c r="A1038">
        <v>1037</v>
      </c>
      <c r="B1038" s="1">
        <v>6906.4435897435897</v>
      </c>
      <c r="C1038" s="1">
        <v>873.94743589743587</v>
      </c>
      <c r="D1038">
        <f>ROUND(store_performance[[#This Row],[AverageSales]]/store_performance[[#This Row],[AverageCustomers]],2)</f>
        <v>7.9</v>
      </c>
      <c r="E1038" t="str">
        <f>_xlfn.XLOOKUP(store_performance[[#This Row],[Store]],store_clean[Store],store_clean[StoreType],"Not Found")</f>
        <v>a</v>
      </c>
    </row>
    <row r="1039" spans="1:5" x14ac:dyDescent="0.2">
      <c r="A1039">
        <v>1038</v>
      </c>
      <c r="B1039" s="1">
        <v>5897.2620578778133</v>
      </c>
      <c r="C1039" s="1">
        <v>513.43729903536973</v>
      </c>
      <c r="D1039">
        <f>ROUND(store_performance[[#This Row],[AverageSales]]/store_performance[[#This Row],[AverageCustomers]],2)</f>
        <v>11.49</v>
      </c>
      <c r="E1039" t="str">
        <f>_xlfn.XLOOKUP(store_performance[[#This Row],[Store]],store_clean[Store],store_clean[StoreType],"Not Found")</f>
        <v>d</v>
      </c>
    </row>
    <row r="1040" spans="1:5" x14ac:dyDescent="0.2">
      <c r="A1040">
        <v>1039</v>
      </c>
      <c r="B1040" s="1">
        <v>8181.42542153048</v>
      </c>
      <c r="C1040" s="1">
        <v>1037.385214007782</v>
      </c>
      <c r="D1040">
        <f>ROUND(store_performance[[#This Row],[AverageSales]]/store_performance[[#This Row],[AverageCustomers]],2)</f>
        <v>7.89</v>
      </c>
      <c r="E1040" t="str">
        <f>_xlfn.XLOOKUP(store_performance[[#This Row],[Store]],store_clean[Store],store_clean[StoreType],"Not Found")</f>
        <v>a</v>
      </c>
    </row>
    <row r="1041" spans="1:5" x14ac:dyDescent="0.2">
      <c r="A1041">
        <v>1040</v>
      </c>
      <c r="B1041" s="1">
        <v>8697.5096277278553</v>
      </c>
      <c r="C1041" s="1">
        <v>866.15404364569963</v>
      </c>
      <c r="D1041">
        <f>ROUND(store_performance[[#This Row],[AverageSales]]/store_performance[[#This Row],[AverageCustomers]],2)</f>
        <v>10.039999999999999</v>
      </c>
      <c r="E1041" t="str">
        <f>_xlfn.XLOOKUP(store_performance[[#This Row],[Store]],store_clean[Store],store_clean[StoreType],"Not Found")</f>
        <v>a</v>
      </c>
    </row>
    <row r="1042" spans="1:5" x14ac:dyDescent="0.2">
      <c r="A1042">
        <v>1041</v>
      </c>
      <c r="B1042" s="1">
        <v>6111.7154340836014</v>
      </c>
      <c r="C1042" s="1">
        <v>655.97266881028941</v>
      </c>
      <c r="D1042">
        <f>ROUND(store_performance[[#This Row],[AverageSales]]/store_performance[[#This Row],[AverageCustomers]],2)</f>
        <v>9.32</v>
      </c>
      <c r="E1042" t="str">
        <f>_xlfn.XLOOKUP(store_performance[[#This Row],[Store]],store_clean[Store],store_clean[StoreType],"Not Found")</f>
        <v>c</v>
      </c>
    </row>
    <row r="1043" spans="1:5" x14ac:dyDescent="0.2">
      <c r="A1043">
        <v>1042</v>
      </c>
      <c r="B1043" s="1">
        <v>4131.2503209242623</v>
      </c>
      <c r="C1043" s="1">
        <v>546.85750962772784</v>
      </c>
      <c r="D1043">
        <f>ROUND(store_performance[[#This Row],[AverageSales]]/store_performance[[#This Row],[AverageCustomers]],2)</f>
        <v>7.55</v>
      </c>
      <c r="E1043" t="str">
        <f>_xlfn.XLOOKUP(store_performance[[#This Row],[Store]],store_clean[Store],store_clean[StoreType],"Not Found")</f>
        <v>a</v>
      </c>
    </row>
    <row r="1044" spans="1:5" x14ac:dyDescent="0.2">
      <c r="A1044">
        <v>1043</v>
      </c>
      <c r="B1044" s="1">
        <v>8792.8282051282058</v>
      </c>
      <c r="C1044" s="1">
        <v>1206.9807692307693</v>
      </c>
      <c r="D1044">
        <f>ROUND(store_performance[[#This Row],[AverageSales]]/store_performance[[#This Row],[AverageCustomers]],2)</f>
        <v>7.28</v>
      </c>
      <c r="E1044" t="str">
        <f>_xlfn.XLOOKUP(store_performance[[#This Row],[Store]],store_clean[Store],store_clean[StoreType],"Not Found")</f>
        <v>c</v>
      </c>
    </row>
    <row r="1045" spans="1:5" x14ac:dyDescent="0.2">
      <c r="A1045">
        <v>1044</v>
      </c>
      <c r="B1045" s="1">
        <v>6622.0193050193047</v>
      </c>
      <c r="C1045" s="1">
        <v>894.75546975546979</v>
      </c>
      <c r="D1045">
        <f>ROUND(store_performance[[#This Row],[AverageSales]]/store_performance[[#This Row],[AverageCustomers]],2)</f>
        <v>7.4</v>
      </c>
      <c r="E1045" t="str">
        <f>_xlfn.XLOOKUP(store_performance[[#This Row],[Store]],store_clean[Store],store_clean[StoreType],"Not Found")</f>
        <v>c</v>
      </c>
    </row>
    <row r="1046" spans="1:5" x14ac:dyDescent="0.2">
      <c r="A1046">
        <v>1045</v>
      </c>
      <c r="B1046" s="1">
        <v>7535.886749716874</v>
      </c>
      <c r="C1046" s="1">
        <v>915.24688561721405</v>
      </c>
      <c r="D1046">
        <f>ROUND(store_performance[[#This Row],[AverageSales]]/store_performance[[#This Row],[AverageCustomers]],2)</f>
        <v>8.23</v>
      </c>
      <c r="E1046" t="str">
        <f>_xlfn.XLOOKUP(store_performance[[#This Row],[Store]],store_clean[Store],store_clean[StoreType],"Not Found")</f>
        <v>a</v>
      </c>
    </row>
    <row r="1047" spans="1:5" x14ac:dyDescent="0.2">
      <c r="A1047">
        <v>1046</v>
      </c>
      <c r="B1047" s="1">
        <v>8698.3538461538465</v>
      </c>
      <c r="C1047" s="1">
        <v>684.06410256410254</v>
      </c>
      <c r="D1047">
        <f>ROUND(store_performance[[#This Row],[AverageSales]]/store_performance[[#This Row],[AverageCustomers]],2)</f>
        <v>12.72</v>
      </c>
      <c r="E1047" t="str">
        <f>_xlfn.XLOOKUP(store_performance[[#This Row],[Store]],store_clean[Store],store_clean[StoreType],"Not Found")</f>
        <v>d</v>
      </c>
    </row>
    <row r="1048" spans="1:5" x14ac:dyDescent="0.2">
      <c r="A1048">
        <v>1047</v>
      </c>
      <c r="B1048" s="1">
        <v>4885.4690721649486</v>
      </c>
      <c r="C1048" s="1">
        <v>525.64690721649481</v>
      </c>
      <c r="D1048">
        <f>ROUND(store_performance[[#This Row],[AverageSales]]/store_performance[[#This Row],[AverageCustomers]],2)</f>
        <v>9.2899999999999991</v>
      </c>
      <c r="E1048" t="str">
        <f>_xlfn.XLOOKUP(store_performance[[#This Row],[Store]],store_clean[Store],store_clean[StoreType],"Not Found")</f>
        <v>a</v>
      </c>
    </row>
    <row r="1049" spans="1:5" x14ac:dyDescent="0.2">
      <c r="A1049">
        <v>1048</v>
      </c>
      <c r="B1049" s="1">
        <v>6887.1685823754788</v>
      </c>
      <c r="C1049" s="1">
        <v>531.58237547892725</v>
      </c>
      <c r="D1049">
        <f>ROUND(store_performance[[#This Row],[AverageSales]]/store_performance[[#This Row],[AverageCustomers]],2)</f>
        <v>12.96</v>
      </c>
      <c r="E1049" t="str">
        <f>_xlfn.XLOOKUP(store_performance[[#This Row],[Store]],store_clean[Store],store_clean[StoreType],"Not Found")</f>
        <v>d</v>
      </c>
    </row>
    <row r="1050" spans="1:5" x14ac:dyDescent="0.2">
      <c r="A1050">
        <v>1049</v>
      </c>
      <c r="B1050" s="1">
        <v>3985.379421221865</v>
      </c>
      <c r="C1050" s="1">
        <v>636.25723472668813</v>
      </c>
      <c r="D1050">
        <f>ROUND(store_performance[[#This Row],[AverageSales]]/store_performance[[#This Row],[AverageCustomers]],2)</f>
        <v>6.26</v>
      </c>
      <c r="E1050" t="str">
        <f>_xlfn.XLOOKUP(store_performance[[#This Row],[Store]],store_clean[Store],store_clean[StoreType],"Not Found")</f>
        <v>a</v>
      </c>
    </row>
    <row r="1051" spans="1:5" x14ac:dyDescent="0.2">
      <c r="A1051">
        <v>1050</v>
      </c>
      <c r="B1051" s="1">
        <v>7389.5147247119075</v>
      </c>
      <c r="C1051" s="1">
        <v>517.72343149807944</v>
      </c>
      <c r="D1051">
        <f>ROUND(store_performance[[#This Row],[AverageSales]]/store_performance[[#This Row],[AverageCustomers]],2)</f>
        <v>14.27</v>
      </c>
      <c r="E1051" t="str">
        <f>_xlfn.XLOOKUP(store_performance[[#This Row],[Store]],store_clean[Store],store_clean[StoreType],"Not Found")</f>
        <v>d</v>
      </c>
    </row>
    <row r="1052" spans="1:5" x14ac:dyDescent="0.2">
      <c r="A1052">
        <v>1051</v>
      </c>
      <c r="B1052" s="1">
        <v>7490.758485639687</v>
      </c>
      <c r="C1052" s="1">
        <v>1006.3446475195823</v>
      </c>
      <c r="D1052">
        <f>ROUND(store_performance[[#This Row],[AverageSales]]/store_performance[[#This Row],[AverageCustomers]],2)</f>
        <v>7.44</v>
      </c>
      <c r="E1052" t="str">
        <f>_xlfn.XLOOKUP(store_performance[[#This Row],[Store]],store_clean[Store],store_clean[StoreType],"Not Found")</f>
        <v>c</v>
      </c>
    </row>
    <row r="1053" spans="1:5" x14ac:dyDescent="0.2">
      <c r="A1053">
        <v>1052</v>
      </c>
      <c r="B1053" s="1">
        <v>7269.3953786906286</v>
      </c>
      <c r="C1053" s="1">
        <v>756.07702182284982</v>
      </c>
      <c r="D1053">
        <f>ROUND(store_performance[[#This Row],[AverageSales]]/store_performance[[#This Row],[AverageCustomers]],2)</f>
        <v>9.61</v>
      </c>
      <c r="E1053" t="str">
        <f>_xlfn.XLOOKUP(store_performance[[#This Row],[Store]],store_clean[Store],store_clean[StoreType],"Not Found")</f>
        <v>a</v>
      </c>
    </row>
    <row r="1054" spans="1:5" x14ac:dyDescent="0.2">
      <c r="A1054">
        <v>1053</v>
      </c>
      <c r="B1054" s="1">
        <v>8932.3073979591845</v>
      </c>
      <c r="C1054" s="1">
        <v>1009.7729591836735</v>
      </c>
      <c r="D1054">
        <f>ROUND(store_performance[[#This Row],[AverageSales]]/store_performance[[#This Row],[AverageCustomers]],2)</f>
        <v>8.85</v>
      </c>
      <c r="E1054" t="str">
        <f>_xlfn.XLOOKUP(store_performance[[#This Row],[Store]],store_clean[Store],store_clean[StoreType],"Not Found")</f>
        <v>a</v>
      </c>
    </row>
    <row r="1055" spans="1:5" x14ac:dyDescent="0.2">
      <c r="A1055">
        <v>1054</v>
      </c>
      <c r="B1055" s="1">
        <v>6034.2321428571431</v>
      </c>
      <c r="C1055" s="1">
        <v>616.97576530612241</v>
      </c>
      <c r="D1055">
        <f>ROUND(store_performance[[#This Row],[AverageSales]]/store_performance[[#This Row],[AverageCustomers]],2)</f>
        <v>9.7799999999999994</v>
      </c>
      <c r="E1055" t="str">
        <f>_xlfn.XLOOKUP(store_performance[[#This Row],[Store]],store_clean[Store],store_clean[StoreType],"Not Found")</f>
        <v>a</v>
      </c>
    </row>
    <row r="1056" spans="1:5" x14ac:dyDescent="0.2">
      <c r="A1056">
        <v>1055</v>
      </c>
      <c r="B1056" s="1">
        <v>7914.5938697318006</v>
      </c>
      <c r="C1056" s="1">
        <v>990.40613026819926</v>
      </c>
      <c r="D1056">
        <f>ROUND(store_performance[[#This Row],[AverageSales]]/store_performance[[#This Row],[AverageCustomers]],2)</f>
        <v>7.99</v>
      </c>
      <c r="E1056" t="str">
        <f>_xlfn.XLOOKUP(store_performance[[#This Row],[Store]],store_clean[Store],store_clean[StoreType],"Not Found")</f>
        <v>c</v>
      </c>
    </row>
    <row r="1057" spans="1:5" x14ac:dyDescent="0.2">
      <c r="A1057">
        <v>1056</v>
      </c>
      <c r="B1057" s="1">
        <v>3877.2985553772069</v>
      </c>
      <c r="C1057" s="1">
        <v>369.83627608346711</v>
      </c>
      <c r="D1057">
        <f>ROUND(store_performance[[#This Row],[AverageSales]]/store_performance[[#This Row],[AverageCustomers]],2)</f>
        <v>10.48</v>
      </c>
      <c r="E1057" t="str">
        <f>_xlfn.XLOOKUP(store_performance[[#This Row],[Store]],store_clean[Store],store_clean[StoreType],"Not Found")</f>
        <v>d</v>
      </c>
    </row>
    <row r="1058" spans="1:5" x14ac:dyDescent="0.2">
      <c r="A1058">
        <v>1057</v>
      </c>
      <c r="B1058" s="1">
        <v>6423.9961734693879</v>
      </c>
      <c r="C1058" s="1">
        <v>640.41198979591832</v>
      </c>
      <c r="D1058">
        <f>ROUND(store_performance[[#This Row],[AverageSales]]/store_performance[[#This Row],[AverageCustomers]],2)</f>
        <v>10.029999999999999</v>
      </c>
      <c r="E1058" t="str">
        <f>_xlfn.XLOOKUP(store_performance[[#This Row],[Store]],store_clean[Store],store_clean[StoreType],"Not Found")</f>
        <v>d</v>
      </c>
    </row>
    <row r="1059" spans="1:5" x14ac:dyDescent="0.2">
      <c r="A1059">
        <v>1058</v>
      </c>
      <c r="B1059" s="1">
        <v>7263.3388960205393</v>
      </c>
      <c r="C1059" s="1">
        <v>700.91014120667523</v>
      </c>
      <c r="D1059">
        <f>ROUND(store_performance[[#This Row],[AverageSales]]/store_performance[[#This Row],[AverageCustomers]],2)</f>
        <v>10.36</v>
      </c>
      <c r="E1059" t="str">
        <f>_xlfn.XLOOKUP(store_performance[[#This Row],[Store]],store_clean[Store],store_clean[StoreType],"Not Found")</f>
        <v>a</v>
      </c>
    </row>
    <row r="1060" spans="1:5" x14ac:dyDescent="0.2">
      <c r="A1060">
        <v>1059</v>
      </c>
      <c r="B1060" s="1">
        <v>8424.5522959183672</v>
      </c>
      <c r="C1060" s="1">
        <v>1153.7512755102041</v>
      </c>
      <c r="D1060">
        <f>ROUND(store_performance[[#This Row],[AverageSales]]/store_performance[[#This Row],[AverageCustomers]],2)</f>
        <v>7.3</v>
      </c>
      <c r="E1060" t="str">
        <f>_xlfn.XLOOKUP(store_performance[[#This Row],[Store]],store_clean[Store],store_clean[StoreType],"Not Found")</f>
        <v>c</v>
      </c>
    </row>
    <row r="1061" spans="1:5" x14ac:dyDescent="0.2">
      <c r="A1061">
        <v>1060</v>
      </c>
      <c r="B1061" s="1">
        <v>7327.3132220795897</v>
      </c>
      <c r="C1061" s="1">
        <v>848.10654685494228</v>
      </c>
      <c r="D1061">
        <f>ROUND(store_performance[[#This Row],[AverageSales]]/store_performance[[#This Row],[AverageCustomers]],2)</f>
        <v>8.64</v>
      </c>
      <c r="E1061" t="str">
        <f>_xlfn.XLOOKUP(store_performance[[#This Row],[Store]],store_clean[Store],store_clean[StoreType],"Not Found")</f>
        <v>a</v>
      </c>
    </row>
    <row r="1062" spans="1:5" x14ac:dyDescent="0.2">
      <c r="A1062">
        <v>1061</v>
      </c>
      <c r="B1062" s="1">
        <v>7378.3397683397679</v>
      </c>
      <c r="C1062" s="1">
        <v>554.73101673101678</v>
      </c>
      <c r="D1062">
        <f>ROUND(store_performance[[#This Row],[AverageSales]]/store_performance[[#This Row],[AverageCustomers]],2)</f>
        <v>13.3</v>
      </c>
      <c r="E1062" t="str">
        <f>_xlfn.XLOOKUP(store_performance[[#This Row],[Store]],store_clean[Store],store_clean[StoreType],"Not Found")</f>
        <v>d</v>
      </c>
    </row>
    <row r="1063" spans="1:5" x14ac:dyDescent="0.2">
      <c r="A1063">
        <v>1062</v>
      </c>
      <c r="B1063" s="1">
        <v>6405.9807445442875</v>
      </c>
      <c r="C1063" s="1">
        <v>592.42875481386397</v>
      </c>
      <c r="D1063">
        <f>ROUND(store_performance[[#This Row],[AverageSales]]/store_performance[[#This Row],[AverageCustomers]],2)</f>
        <v>10.81</v>
      </c>
      <c r="E1063" t="str">
        <f>_xlfn.XLOOKUP(store_performance[[#This Row],[Store]],store_clean[Store],store_clean[StoreType],"Not Found")</f>
        <v>d</v>
      </c>
    </row>
    <row r="1064" spans="1:5" x14ac:dyDescent="0.2">
      <c r="A1064">
        <v>1063</v>
      </c>
      <c r="B1064" s="1">
        <v>4271.2869897959181</v>
      </c>
      <c r="C1064" s="1">
        <v>530.94515306122446</v>
      </c>
      <c r="D1064">
        <f>ROUND(store_performance[[#This Row],[AverageSales]]/store_performance[[#This Row],[AverageCustomers]],2)</f>
        <v>8.0399999999999991</v>
      </c>
      <c r="E1064" t="str">
        <f>_xlfn.XLOOKUP(store_performance[[#This Row],[Store]],store_clean[Store],store_clean[StoreType],"Not Found")</f>
        <v>a</v>
      </c>
    </row>
    <row r="1065" spans="1:5" x14ac:dyDescent="0.2">
      <c r="A1065">
        <v>1064</v>
      </c>
      <c r="B1065" s="1">
        <v>9455.5789473684217</v>
      </c>
      <c r="C1065" s="1">
        <v>1067.8587933247754</v>
      </c>
      <c r="D1065">
        <f>ROUND(store_performance[[#This Row],[AverageSales]]/store_performance[[#This Row],[AverageCustomers]],2)</f>
        <v>8.85</v>
      </c>
      <c r="E1065" t="str">
        <f>_xlfn.XLOOKUP(store_performance[[#This Row],[Store]],store_clean[Store],store_clean[StoreType],"Not Found")</f>
        <v>a</v>
      </c>
    </row>
    <row r="1066" spans="1:5" x14ac:dyDescent="0.2">
      <c r="A1066">
        <v>1065</v>
      </c>
      <c r="B1066" s="1">
        <v>4198.1623794212219</v>
      </c>
      <c r="C1066" s="1">
        <v>485.2636655948553</v>
      </c>
      <c r="D1066">
        <f>ROUND(store_performance[[#This Row],[AverageSales]]/store_performance[[#This Row],[AverageCustomers]],2)</f>
        <v>8.65</v>
      </c>
      <c r="E1066" t="str">
        <f>_xlfn.XLOOKUP(store_performance[[#This Row],[Store]],store_clean[Store],store_clean[StoreType],"Not Found")</f>
        <v>a</v>
      </c>
    </row>
    <row r="1067" spans="1:5" x14ac:dyDescent="0.2">
      <c r="A1067">
        <v>1066</v>
      </c>
      <c r="B1067" s="1">
        <v>11073.919127086008</v>
      </c>
      <c r="C1067" s="1">
        <v>1125.9268292682927</v>
      </c>
      <c r="D1067">
        <f>ROUND(store_performance[[#This Row],[AverageSales]]/store_performance[[#This Row],[AverageCustomers]],2)</f>
        <v>9.84</v>
      </c>
      <c r="E1067" t="str">
        <f>_xlfn.XLOOKUP(store_performance[[#This Row],[Store]],store_clean[Store],store_clean[StoreType],"Not Found")</f>
        <v>a</v>
      </c>
    </row>
    <row r="1068" spans="1:5" x14ac:dyDescent="0.2">
      <c r="A1068">
        <v>1067</v>
      </c>
      <c r="B1068" s="1">
        <v>5756.1864951768484</v>
      </c>
      <c r="C1068" s="1">
        <v>490.37299035369773</v>
      </c>
      <c r="D1068">
        <f>ROUND(store_performance[[#This Row],[AverageSales]]/store_performance[[#This Row],[AverageCustomers]],2)</f>
        <v>11.74</v>
      </c>
      <c r="E1068" t="str">
        <f>_xlfn.XLOOKUP(store_performance[[#This Row],[Store]],store_clean[Store],store_clean[StoreType],"Not Found")</f>
        <v>d</v>
      </c>
    </row>
    <row r="1069" spans="1:5" x14ac:dyDescent="0.2">
      <c r="A1069">
        <v>1068</v>
      </c>
      <c r="B1069" s="1">
        <v>4441.5366795366799</v>
      </c>
      <c r="C1069" s="1">
        <v>309.54440154440152</v>
      </c>
      <c r="D1069">
        <f>ROUND(store_performance[[#This Row],[AverageSales]]/store_performance[[#This Row],[AverageCustomers]],2)</f>
        <v>14.35</v>
      </c>
      <c r="E1069" t="str">
        <f>_xlfn.XLOOKUP(store_performance[[#This Row],[Store]],store_clean[Store],store_clean[StoreType],"Not Found")</f>
        <v>d</v>
      </c>
    </row>
    <row r="1070" spans="1:5" x14ac:dyDescent="0.2">
      <c r="A1070">
        <v>1069</v>
      </c>
      <c r="B1070" s="1">
        <v>6305.2698209718674</v>
      </c>
      <c r="C1070" s="1">
        <v>794.70204603580567</v>
      </c>
      <c r="D1070">
        <f>ROUND(store_performance[[#This Row],[AverageSales]]/store_performance[[#This Row],[AverageCustomers]],2)</f>
        <v>7.93</v>
      </c>
      <c r="E1070" t="str">
        <f>_xlfn.XLOOKUP(store_performance[[#This Row],[Store]],store_clean[Store],store_clean[StoreType],"Not Found")</f>
        <v>a</v>
      </c>
    </row>
    <row r="1071" spans="1:5" x14ac:dyDescent="0.2">
      <c r="A1071">
        <v>1070</v>
      </c>
      <c r="B1071" s="1">
        <v>7034.7117346938776</v>
      </c>
      <c r="C1071" s="1">
        <v>867.95280612244903</v>
      </c>
      <c r="D1071">
        <f>ROUND(store_performance[[#This Row],[AverageSales]]/store_performance[[#This Row],[AverageCustomers]],2)</f>
        <v>8.1</v>
      </c>
      <c r="E1071" t="str">
        <f>_xlfn.XLOOKUP(store_performance[[#This Row],[Store]],store_clean[Store],store_clean[StoreType],"Not Found")</f>
        <v>c</v>
      </c>
    </row>
    <row r="1072" spans="1:5" x14ac:dyDescent="0.2">
      <c r="A1072">
        <v>1071</v>
      </c>
      <c r="B1072" s="1">
        <v>6027.2257653061224</v>
      </c>
      <c r="C1072" s="1">
        <v>728.61989795918362</v>
      </c>
      <c r="D1072">
        <f>ROUND(store_performance[[#This Row],[AverageSales]]/store_performance[[#This Row],[AverageCustomers]],2)</f>
        <v>8.27</v>
      </c>
      <c r="E1072" t="str">
        <f>_xlfn.XLOOKUP(store_performance[[#This Row],[Store]],store_clean[Store],store_clean[StoreType],"Not Found")</f>
        <v>a</v>
      </c>
    </row>
    <row r="1073" spans="1:5" x14ac:dyDescent="0.2">
      <c r="A1073">
        <v>1072</v>
      </c>
      <c r="B1073" s="1">
        <v>6821.9114249037229</v>
      </c>
      <c r="C1073" s="1">
        <v>642.07317073170736</v>
      </c>
      <c r="D1073">
        <f>ROUND(store_performance[[#This Row],[AverageSales]]/store_performance[[#This Row],[AverageCustomers]],2)</f>
        <v>10.62</v>
      </c>
      <c r="E1073" t="str">
        <f>_xlfn.XLOOKUP(store_performance[[#This Row],[Store]],store_clean[Store],store_clean[StoreType],"Not Found")</f>
        <v>a</v>
      </c>
    </row>
    <row r="1074" spans="1:5" x14ac:dyDescent="0.2">
      <c r="A1074">
        <v>1073</v>
      </c>
      <c r="B1074" s="1">
        <v>7276.7920410783054</v>
      </c>
      <c r="C1074" s="1">
        <v>918.26315789473688</v>
      </c>
      <c r="D1074">
        <f>ROUND(store_performance[[#This Row],[AverageSales]]/store_performance[[#This Row],[AverageCustomers]],2)</f>
        <v>7.92</v>
      </c>
      <c r="E1074" t="str">
        <f>_xlfn.XLOOKUP(store_performance[[#This Row],[Store]],store_clean[Store],store_clean[StoreType],"Not Found")</f>
        <v>a</v>
      </c>
    </row>
    <row r="1075" spans="1:5" x14ac:dyDescent="0.2">
      <c r="A1075">
        <v>1074</v>
      </c>
      <c r="B1075" s="1">
        <v>5146.2435897435898</v>
      </c>
      <c r="C1075" s="1">
        <v>555.60769230769233</v>
      </c>
      <c r="D1075">
        <f>ROUND(store_performance[[#This Row],[AverageSales]]/store_performance[[#This Row],[AverageCustomers]],2)</f>
        <v>9.26</v>
      </c>
      <c r="E1075" t="str">
        <f>_xlfn.XLOOKUP(store_performance[[#This Row],[Store]],store_clean[Store],store_clean[StoreType],"Not Found")</f>
        <v>c</v>
      </c>
    </row>
    <row r="1076" spans="1:5" x14ac:dyDescent="0.2">
      <c r="A1076">
        <v>1075</v>
      </c>
      <c r="B1076" s="1">
        <v>11485.389030612245</v>
      </c>
      <c r="C1076" s="1">
        <v>1092.7602040816328</v>
      </c>
      <c r="D1076">
        <f>ROUND(store_performance[[#This Row],[AverageSales]]/store_performance[[#This Row],[AverageCustomers]],2)</f>
        <v>10.51</v>
      </c>
      <c r="E1076" t="str">
        <f>_xlfn.XLOOKUP(store_performance[[#This Row],[Store]],store_clean[Store],store_clean[StoreType],"Not Found")</f>
        <v>a</v>
      </c>
    </row>
    <row r="1077" spans="1:5" x14ac:dyDescent="0.2">
      <c r="A1077">
        <v>1076</v>
      </c>
      <c r="B1077" s="1">
        <v>3620.0256739409501</v>
      </c>
      <c r="C1077" s="1">
        <v>545.44929396662383</v>
      </c>
      <c r="D1077">
        <f>ROUND(store_performance[[#This Row],[AverageSales]]/store_performance[[#This Row],[AverageCustomers]],2)</f>
        <v>6.64</v>
      </c>
      <c r="E1077" t="str">
        <f>_xlfn.XLOOKUP(store_performance[[#This Row],[Store]],store_clean[Store],store_clean[StoreType],"Not Found")</f>
        <v>a</v>
      </c>
    </row>
    <row r="1078" spans="1:5" x14ac:dyDescent="0.2">
      <c r="A1078">
        <v>1077</v>
      </c>
      <c r="B1078" s="1">
        <v>4489.767650834403</v>
      </c>
      <c r="C1078" s="1">
        <v>495.93966623876764</v>
      </c>
      <c r="D1078">
        <f>ROUND(store_performance[[#This Row],[AverageSales]]/store_performance[[#This Row],[AverageCustomers]],2)</f>
        <v>9.0500000000000007</v>
      </c>
      <c r="E1078" t="str">
        <f>_xlfn.XLOOKUP(store_performance[[#This Row],[Store]],store_clean[Store],store_clean[StoreType],"Not Found")</f>
        <v>a</v>
      </c>
    </row>
    <row r="1079" spans="1:5" x14ac:dyDescent="0.2">
      <c r="A1079">
        <v>1078</v>
      </c>
      <c r="B1079" s="1">
        <v>6808.0797940797938</v>
      </c>
      <c r="C1079" s="1">
        <v>523.62934362934368</v>
      </c>
      <c r="D1079">
        <f>ROUND(store_performance[[#This Row],[AverageSales]]/store_performance[[#This Row],[AverageCustomers]],2)</f>
        <v>13</v>
      </c>
      <c r="E1079" t="str">
        <f>_xlfn.XLOOKUP(store_performance[[#This Row],[Store]],store_clean[Store],store_clean[StoreType],"Not Found")</f>
        <v>d</v>
      </c>
    </row>
    <row r="1080" spans="1:5" x14ac:dyDescent="0.2">
      <c r="A1080">
        <v>1079</v>
      </c>
      <c r="B1080" s="1">
        <v>8685.3124199743925</v>
      </c>
      <c r="C1080" s="1">
        <v>689.32650448143409</v>
      </c>
      <c r="D1080">
        <f>ROUND(store_performance[[#This Row],[AverageSales]]/store_performance[[#This Row],[AverageCustomers]],2)</f>
        <v>12.6</v>
      </c>
      <c r="E1080" t="str">
        <f>_xlfn.XLOOKUP(store_performance[[#This Row],[Store]],store_clean[Store],store_clean[StoreType],"Not Found")</f>
        <v>a</v>
      </c>
    </row>
    <row r="1081" spans="1:5" x14ac:dyDescent="0.2">
      <c r="A1081">
        <v>1080</v>
      </c>
      <c r="B1081" s="1">
        <v>10190.765273311898</v>
      </c>
      <c r="C1081" s="1">
        <v>841.53054662379418</v>
      </c>
      <c r="D1081">
        <f>ROUND(store_performance[[#This Row],[AverageSales]]/store_performance[[#This Row],[AverageCustomers]],2)</f>
        <v>12.11</v>
      </c>
      <c r="E1081" t="str">
        <f>_xlfn.XLOOKUP(store_performance[[#This Row],[Store]],store_clean[Store],store_clean[StoreType],"Not Found")</f>
        <v>a</v>
      </c>
    </row>
    <row r="1082" spans="1:5" x14ac:dyDescent="0.2">
      <c r="A1082">
        <v>1081</v>
      </c>
      <c r="B1082" s="1">
        <v>5924.9194187582561</v>
      </c>
      <c r="C1082" s="1">
        <v>937.17833553500657</v>
      </c>
      <c r="D1082">
        <f>ROUND(store_performance[[#This Row],[AverageSales]]/store_performance[[#This Row],[AverageCustomers]],2)</f>
        <v>6.32</v>
      </c>
      <c r="E1082" t="str">
        <f>_xlfn.XLOOKUP(store_performance[[#This Row],[Store]],store_clean[Store],store_clean[StoreType],"Not Found")</f>
        <v>b</v>
      </c>
    </row>
    <row r="1083" spans="1:5" x14ac:dyDescent="0.2">
      <c r="A1083">
        <v>1082</v>
      </c>
      <c r="B1083" s="1">
        <v>7044.7871794871799</v>
      </c>
      <c r="C1083" s="1">
        <v>1034.6961538461539</v>
      </c>
      <c r="D1083">
        <f>ROUND(store_performance[[#This Row],[AverageSales]]/store_performance[[#This Row],[AverageCustomers]],2)</f>
        <v>6.81</v>
      </c>
      <c r="E1083" t="str">
        <f>_xlfn.XLOOKUP(store_performance[[#This Row],[Store]],store_clean[Store],store_clean[StoreType],"Not Found")</f>
        <v>c</v>
      </c>
    </row>
    <row r="1084" spans="1:5" x14ac:dyDescent="0.2">
      <c r="A1084">
        <v>1083</v>
      </c>
      <c r="B1084" s="1">
        <v>5146.3687580025608</v>
      </c>
      <c r="C1084" s="1">
        <v>360.65044814340587</v>
      </c>
      <c r="D1084">
        <f>ROUND(store_performance[[#This Row],[AverageSales]]/store_performance[[#This Row],[AverageCustomers]],2)</f>
        <v>14.27</v>
      </c>
      <c r="E1084" t="str">
        <f>_xlfn.XLOOKUP(store_performance[[#This Row],[Store]],store_clean[Store],store_clean[StoreType],"Not Found")</f>
        <v>d</v>
      </c>
    </row>
    <row r="1085" spans="1:5" x14ac:dyDescent="0.2">
      <c r="A1085">
        <v>1084</v>
      </c>
      <c r="B1085" s="1">
        <v>6271.369565217391</v>
      </c>
      <c r="C1085" s="1">
        <v>807.95907928388749</v>
      </c>
      <c r="D1085">
        <f>ROUND(store_performance[[#This Row],[AverageSales]]/store_performance[[#This Row],[AverageCustomers]],2)</f>
        <v>7.76</v>
      </c>
      <c r="E1085" t="str">
        <f>_xlfn.XLOOKUP(store_performance[[#This Row],[Store]],store_clean[Store],store_clean[StoreType],"Not Found")</f>
        <v>a</v>
      </c>
    </row>
    <row r="1086" spans="1:5" x14ac:dyDescent="0.2">
      <c r="A1086">
        <v>1085</v>
      </c>
      <c r="B1086" s="1">
        <v>7567.2334183673465</v>
      </c>
      <c r="C1086" s="1">
        <v>760.32015306122446</v>
      </c>
      <c r="D1086">
        <f>ROUND(store_performance[[#This Row],[AverageSales]]/store_performance[[#This Row],[AverageCustomers]],2)</f>
        <v>9.9499999999999993</v>
      </c>
      <c r="E1086" t="str">
        <f>_xlfn.XLOOKUP(store_performance[[#This Row],[Store]],store_clean[Store],store_clean[StoreType],"Not Found")</f>
        <v>c</v>
      </c>
    </row>
    <row r="1087" spans="1:5" x14ac:dyDescent="0.2">
      <c r="A1087">
        <v>1086</v>
      </c>
      <c r="B1087" s="1">
        <v>7677.4097311139567</v>
      </c>
      <c r="C1087" s="1">
        <v>839.13444302176697</v>
      </c>
      <c r="D1087">
        <f>ROUND(store_performance[[#This Row],[AverageSales]]/store_performance[[#This Row],[AverageCustomers]],2)</f>
        <v>9.15</v>
      </c>
      <c r="E1087" t="str">
        <f>_xlfn.XLOOKUP(store_performance[[#This Row],[Store]],store_clean[Store],store_clean[StoreType],"Not Found")</f>
        <v>a</v>
      </c>
    </row>
    <row r="1088" spans="1:5" x14ac:dyDescent="0.2">
      <c r="A1088">
        <v>1087</v>
      </c>
      <c r="B1088" s="1">
        <v>6282.2028061224491</v>
      </c>
      <c r="C1088" s="1">
        <v>615.48086734693879</v>
      </c>
      <c r="D1088">
        <f>ROUND(store_performance[[#This Row],[AverageSales]]/store_performance[[#This Row],[AverageCustomers]],2)</f>
        <v>10.210000000000001</v>
      </c>
      <c r="E1088" t="str">
        <f>_xlfn.XLOOKUP(store_performance[[#This Row],[Store]],store_clean[Store],store_clean[StoreType],"Not Found")</f>
        <v>d</v>
      </c>
    </row>
    <row r="1089" spans="1:5" x14ac:dyDescent="0.2">
      <c r="A1089">
        <v>1088</v>
      </c>
      <c r="B1089" s="1">
        <v>5084.7034659820283</v>
      </c>
      <c r="C1089" s="1">
        <v>485.14762516046216</v>
      </c>
      <c r="D1089">
        <f>ROUND(store_performance[[#This Row],[AverageSales]]/store_performance[[#This Row],[AverageCustomers]],2)</f>
        <v>10.48</v>
      </c>
      <c r="E1089" t="str">
        <f>_xlfn.XLOOKUP(store_performance[[#This Row],[Store]],store_clean[Store],store_clean[StoreType],"Not Found")</f>
        <v>a</v>
      </c>
    </row>
    <row r="1090" spans="1:5" x14ac:dyDescent="0.2">
      <c r="A1090">
        <v>1089</v>
      </c>
      <c r="B1090" s="1">
        <v>10160.761232349165</v>
      </c>
      <c r="C1090" s="1">
        <v>1002.5750962772786</v>
      </c>
      <c r="D1090">
        <f>ROUND(store_performance[[#This Row],[AverageSales]]/store_performance[[#This Row],[AverageCustomers]],2)</f>
        <v>10.130000000000001</v>
      </c>
      <c r="E1090" t="str">
        <f>_xlfn.XLOOKUP(store_performance[[#This Row],[Store]],store_clean[Store],store_clean[StoreType],"Not Found")</f>
        <v>d</v>
      </c>
    </row>
    <row r="1091" spans="1:5" x14ac:dyDescent="0.2">
      <c r="A1091">
        <v>1090</v>
      </c>
      <c r="B1091" s="1">
        <v>6453.0717948717947</v>
      </c>
      <c r="C1091" s="1">
        <v>785.66025641025647</v>
      </c>
      <c r="D1091">
        <f>ROUND(store_performance[[#This Row],[AverageSales]]/store_performance[[#This Row],[AverageCustomers]],2)</f>
        <v>8.2100000000000009</v>
      </c>
      <c r="E1091" t="str">
        <f>_xlfn.XLOOKUP(store_performance[[#This Row],[Store]],store_clean[Store],store_clean[StoreType],"Not Found")</f>
        <v>a</v>
      </c>
    </row>
    <row r="1092" spans="1:5" x14ac:dyDescent="0.2">
      <c r="A1092">
        <v>1091</v>
      </c>
      <c r="B1092" s="1">
        <v>8276.3456632653069</v>
      </c>
      <c r="C1092" s="1">
        <v>697.19132653061229</v>
      </c>
      <c r="D1092">
        <f>ROUND(store_performance[[#This Row],[AverageSales]]/store_performance[[#This Row],[AverageCustomers]],2)</f>
        <v>11.87</v>
      </c>
      <c r="E1092" t="str">
        <f>_xlfn.XLOOKUP(store_performance[[#This Row],[Store]],store_clean[Store],store_clean[StoreType],"Not Found")</f>
        <v>a</v>
      </c>
    </row>
    <row r="1093" spans="1:5" x14ac:dyDescent="0.2">
      <c r="A1093">
        <v>1092</v>
      </c>
      <c r="B1093" s="1">
        <v>11960.538585209004</v>
      </c>
      <c r="C1093" s="1">
        <v>1165.0225080385851</v>
      </c>
      <c r="D1093">
        <f>ROUND(store_performance[[#This Row],[AverageSales]]/store_performance[[#This Row],[AverageCustomers]],2)</f>
        <v>10.27</v>
      </c>
      <c r="E1093" t="str">
        <f>_xlfn.XLOOKUP(store_performance[[#This Row],[Store]],store_clean[Store],store_clean[StoreType],"Not Found")</f>
        <v>a</v>
      </c>
    </row>
    <row r="1094" spans="1:5" x14ac:dyDescent="0.2">
      <c r="A1094">
        <v>1093</v>
      </c>
      <c r="B1094" s="1">
        <v>8338.8269230769238</v>
      </c>
      <c r="C1094" s="1">
        <v>869.45</v>
      </c>
      <c r="D1094">
        <f>ROUND(store_performance[[#This Row],[AverageSales]]/store_performance[[#This Row],[AverageCustomers]],2)</f>
        <v>9.59</v>
      </c>
      <c r="E1094" t="str">
        <f>_xlfn.XLOOKUP(store_performance[[#This Row],[Store]],store_clean[Store],store_clean[StoreType],"Not Found")</f>
        <v>c</v>
      </c>
    </row>
    <row r="1095" spans="1:5" x14ac:dyDescent="0.2">
      <c r="A1095">
        <v>1094</v>
      </c>
      <c r="B1095" s="1">
        <v>4574.7154340836014</v>
      </c>
      <c r="C1095" s="1">
        <v>373.84244372990355</v>
      </c>
      <c r="D1095">
        <f>ROUND(store_performance[[#This Row],[AverageSales]]/store_performance[[#This Row],[AverageCustomers]],2)</f>
        <v>12.24</v>
      </c>
      <c r="E1095" t="str">
        <f>_xlfn.XLOOKUP(store_performance[[#This Row],[Store]],store_clean[Store],store_clean[StoreType],"Not Found")</f>
        <v>d</v>
      </c>
    </row>
    <row r="1096" spans="1:5" x14ac:dyDescent="0.2">
      <c r="A1096">
        <v>1095</v>
      </c>
      <c r="B1096" s="1">
        <v>4781.4156010230181</v>
      </c>
      <c r="C1096" s="1">
        <v>677.8324808184143</v>
      </c>
      <c r="D1096">
        <f>ROUND(store_performance[[#This Row],[AverageSales]]/store_performance[[#This Row],[AverageCustomers]],2)</f>
        <v>7.05</v>
      </c>
      <c r="E1096" t="str">
        <f>_xlfn.XLOOKUP(store_performance[[#This Row],[Store]],store_clean[Store],store_clean[StoreType],"Not Found")</f>
        <v>a</v>
      </c>
    </row>
    <row r="1097" spans="1:5" x14ac:dyDescent="0.2">
      <c r="A1097">
        <v>1096</v>
      </c>
      <c r="B1097" s="1">
        <v>5456.5237483953788</v>
      </c>
      <c r="C1097" s="1">
        <v>633.06290115532738</v>
      </c>
      <c r="D1097">
        <f>ROUND(store_performance[[#This Row],[AverageSales]]/store_performance[[#This Row],[AverageCustomers]],2)</f>
        <v>8.6199999999999992</v>
      </c>
      <c r="E1097" t="str">
        <f>_xlfn.XLOOKUP(store_performance[[#This Row],[Store]],store_clean[Store],store_clean[StoreType],"Not Found")</f>
        <v>a</v>
      </c>
    </row>
    <row r="1098" spans="1:5" x14ac:dyDescent="0.2">
      <c r="A1098">
        <v>1097</v>
      </c>
      <c r="B1098" s="1">
        <v>9744.5997876857746</v>
      </c>
      <c r="C1098" s="1">
        <v>2420.9214437367305</v>
      </c>
      <c r="D1098">
        <f>ROUND(store_performance[[#This Row],[AverageSales]]/store_performance[[#This Row],[AverageCustomers]],2)</f>
        <v>4.03</v>
      </c>
      <c r="E1098" t="str">
        <f>_xlfn.XLOOKUP(store_performance[[#This Row],[Store]],store_clean[Store],store_clean[StoreType],"Not Found")</f>
        <v>b</v>
      </c>
    </row>
    <row r="1099" spans="1:5" x14ac:dyDescent="0.2">
      <c r="A1099">
        <v>1098</v>
      </c>
      <c r="B1099" s="1">
        <v>5259.4974358974359</v>
      </c>
      <c r="C1099" s="1">
        <v>709.07692307692309</v>
      </c>
      <c r="D1099">
        <f>ROUND(store_performance[[#This Row],[AverageSales]]/store_performance[[#This Row],[AverageCustomers]],2)</f>
        <v>7.42</v>
      </c>
      <c r="E1099" t="str">
        <f>_xlfn.XLOOKUP(store_performance[[#This Row],[Store]],store_clean[Store],store_clean[StoreType],"Not Found")</f>
        <v>a</v>
      </c>
    </row>
    <row r="1100" spans="1:5" x14ac:dyDescent="0.2">
      <c r="A1100">
        <v>1099</v>
      </c>
      <c r="B1100" s="1">
        <v>7743.1119820828671</v>
      </c>
      <c r="C1100" s="1">
        <v>979.94960806271001</v>
      </c>
      <c r="D1100">
        <f>ROUND(store_performance[[#This Row],[AverageSales]]/store_performance[[#This Row],[AverageCustomers]],2)</f>
        <v>7.9</v>
      </c>
      <c r="E1100" t="str">
        <f>_xlfn.XLOOKUP(store_performance[[#This Row],[Store]],store_clean[Store],store_clean[StoreType],"Not Found")</f>
        <v>a</v>
      </c>
    </row>
    <row r="1101" spans="1:5" x14ac:dyDescent="0.2">
      <c r="A1101">
        <v>1100</v>
      </c>
      <c r="B1101" s="1">
        <v>5405.1543450064855</v>
      </c>
      <c r="C1101" s="1">
        <v>667.31906614785987</v>
      </c>
      <c r="D1101">
        <f>ROUND(store_performance[[#This Row],[AverageSales]]/store_performance[[#This Row],[AverageCustomers]],2)</f>
        <v>8.1</v>
      </c>
      <c r="E1101" t="str">
        <f>_xlfn.XLOOKUP(store_performance[[#This Row],[Store]],store_clean[Store],store_clean[StoreType],"Not Found")</f>
        <v>a</v>
      </c>
    </row>
    <row r="1102" spans="1:5" x14ac:dyDescent="0.2">
      <c r="A1102">
        <v>1101</v>
      </c>
      <c r="B1102" s="1">
        <v>9972.2665816326535</v>
      </c>
      <c r="C1102" s="1">
        <v>988.45025510204084</v>
      </c>
      <c r="D1102">
        <f>ROUND(store_performance[[#This Row],[AverageSales]]/store_performance[[#This Row],[AverageCustomers]],2)</f>
        <v>10.09</v>
      </c>
      <c r="E1102" t="str">
        <f>_xlfn.XLOOKUP(store_performance[[#This Row],[Store]],store_clean[Store],store_clean[StoreType],"Not Found")</f>
        <v>d</v>
      </c>
    </row>
    <row r="1103" spans="1:5" x14ac:dyDescent="0.2">
      <c r="A1103">
        <v>1102</v>
      </c>
      <c r="B1103" s="1">
        <v>6999.9887459807078</v>
      </c>
      <c r="C1103" s="1">
        <v>706.47749196141478</v>
      </c>
      <c r="D1103">
        <f>ROUND(store_performance[[#This Row],[AverageSales]]/store_performance[[#This Row],[AverageCustomers]],2)</f>
        <v>9.91</v>
      </c>
      <c r="E1103" t="str">
        <f>_xlfn.XLOOKUP(store_performance[[#This Row],[Store]],store_clean[Store],store_clean[StoreType],"Not Found")</f>
        <v>a</v>
      </c>
    </row>
    <row r="1104" spans="1:5" x14ac:dyDescent="0.2">
      <c r="A1104">
        <v>1103</v>
      </c>
      <c r="B1104" s="1">
        <v>5019.5441741357236</v>
      </c>
      <c r="C1104" s="1">
        <v>385.66453265044817</v>
      </c>
      <c r="D1104">
        <f>ROUND(store_performance[[#This Row],[AverageSales]]/store_performance[[#This Row],[AverageCustomers]],2)</f>
        <v>13.02</v>
      </c>
      <c r="E1104" t="str">
        <f>_xlfn.XLOOKUP(store_performance[[#This Row],[Store]],store_clean[Store],store_clean[StoreType],"Not Found")</f>
        <v>d</v>
      </c>
    </row>
    <row r="1105" spans="1:5" x14ac:dyDescent="0.2">
      <c r="A1105">
        <v>1104</v>
      </c>
      <c r="B1105" s="1">
        <v>5461.4340836012861</v>
      </c>
      <c r="C1105" s="1">
        <v>431.21382636655949</v>
      </c>
      <c r="D1105">
        <f>ROUND(store_performance[[#This Row],[AverageSales]]/store_performance[[#This Row],[AverageCustomers]],2)</f>
        <v>12.67</v>
      </c>
      <c r="E1105" t="str">
        <f>_xlfn.XLOOKUP(store_performance[[#This Row],[Store]],store_clean[Store],store_clean[StoreType],"Not Found")</f>
        <v>d</v>
      </c>
    </row>
    <row r="1106" spans="1:5" x14ac:dyDescent="0.2">
      <c r="A1106">
        <v>1105</v>
      </c>
      <c r="B1106" s="1">
        <v>4564.5725288831836</v>
      </c>
      <c r="C1106" s="1">
        <v>510.03594351732988</v>
      </c>
      <c r="D1106">
        <f>ROUND(store_performance[[#This Row],[AverageSales]]/store_performance[[#This Row],[AverageCustomers]],2)</f>
        <v>8.9499999999999993</v>
      </c>
      <c r="E1106" t="str">
        <f>_xlfn.XLOOKUP(store_performance[[#This Row],[Store]],store_clean[Store],store_clean[StoreType],"Not Found")</f>
        <v>c</v>
      </c>
    </row>
    <row r="1107" spans="1:5" x14ac:dyDescent="0.2">
      <c r="A1107">
        <v>1106</v>
      </c>
      <c r="B1107" s="1">
        <v>4894.095663265306</v>
      </c>
      <c r="C1107" s="1">
        <v>557.61352040816325</v>
      </c>
      <c r="D1107">
        <f>ROUND(store_performance[[#This Row],[AverageSales]]/store_performance[[#This Row],[AverageCustomers]],2)</f>
        <v>8.7799999999999994</v>
      </c>
      <c r="E1107" t="str">
        <f>_xlfn.XLOOKUP(store_performance[[#This Row],[Store]],store_clean[Store],store_clean[StoreType],"Not Found")</f>
        <v>a</v>
      </c>
    </row>
    <row r="1108" spans="1:5" x14ac:dyDescent="0.2">
      <c r="A1108">
        <v>1107</v>
      </c>
      <c r="B1108" s="1">
        <v>6231.7207062600319</v>
      </c>
      <c r="C1108" s="1">
        <v>668.53130016051364</v>
      </c>
      <c r="D1108">
        <f>ROUND(store_performance[[#This Row],[AverageSales]]/store_performance[[#This Row],[AverageCustomers]],2)</f>
        <v>9.32</v>
      </c>
      <c r="E1108" t="str">
        <f>_xlfn.XLOOKUP(store_performance[[#This Row],[Store]],store_clean[Store],store_clean[StoreType],"Not Found")</f>
        <v>a</v>
      </c>
    </row>
    <row r="1109" spans="1:5" x14ac:dyDescent="0.2">
      <c r="A1109">
        <v>1108</v>
      </c>
      <c r="B1109" s="1">
        <v>5746.9217948717951</v>
      </c>
      <c r="C1109" s="1">
        <v>590.26666666666665</v>
      </c>
      <c r="D1109">
        <f>ROUND(store_performance[[#This Row],[AverageSales]]/store_performance[[#This Row],[AverageCustomers]],2)</f>
        <v>9.74</v>
      </c>
      <c r="E1109" t="str">
        <f>_xlfn.XLOOKUP(store_performance[[#This Row],[Store]],store_clean[Store],store_clean[StoreType],"Not Found")</f>
        <v>a</v>
      </c>
    </row>
    <row r="1110" spans="1:5" x14ac:dyDescent="0.2">
      <c r="A1110">
        <v>1109</v>
      </c>
      <c r="B1110" s="1">
        <v>4927.2041800643083</v>
      </c>
      <c r="C1110" s="1">
        <v>452.33762057877811</v>
      </c>
      <c r="D1110">
        <f>ROUND(store_performance[[#This Row],[AverageSales]]/store_performance[[#This Row],[AverageCustomers]],2)</f>
        <v>10.89</v>
      </c>
      <c r="E1110" t="str">
        <f>_xlfn.XLOOKUP(store_performance[[#This Row],[Store]],store_clean[Store],store_clean[StoreType],"Not Found")</f>
        <v>c</v>
      </c>
    </row>
    <row r="1111" spans="1:5" x14ac:dyDescent="0.2">
      <c r="A1111">
        <v>1110</v>
      </c>
      <c r="B1111" s="1">
        <v>4531.9106002554281</v>
      </c>
      <c r="C1111" s="1">
        <v>540.17624521072798</v>
      </c>
      <c r="D1111">
        <f>ROUND(store_performance[[#This Row],[AverageSales]]/store_performance[[#This Row],[AverageCustomers]],2)</f>
        <v>8.39</v>
      </c>
      <c r="E1111" t="str">
        <f>_xlfn.XLOOKUP(store_performance[[#This Row],[Store]],store_clean[Store],store_clean[StoreType],"Not Found")</f>
        <v>c</v>
      </c>
    </row>
    <row r="1112" spans="1:5" x14ac:dyDescent="0.2">
      <c r="A1112">
        <v>1111</v>
      </c>
      <c r="B1112" s="1">
        <v>5251.7021822849811</v>
      </c>
      <c r="C1112" s="1">
        <v>451.71116816431322</v>
      </c>
      <c r="D1112">
        <f>ROUND(store_performance[[#This Row],[AverageSales]]/store_performance[[#This Row],[AverageCustomers]],2)</f>
        <v>11.63</v>
      </c>
      <c r="E1112" t="str">
        <f>_xlfn.XLOOKUP(store_performance[[#This Row],[Store]],store_clean[Store],store_clean[StoreType],"Not Found")</f>
        <v>a</v>
      </c>
    </row>
    <row r="1113" spans="1:5" x14ac:dyDescent="0.2">
      <c r="A1113">
        <v>1112</v>
      </c>
      <c r="B1113" s="1">
        <v>10236.577663671373</v>
      </c>
      <c r="C1113" s="1">
        <v>838.60847240051351</v>
      </c>
      <c r="D1113">
        <f>ROUND(store_performance[[#This Row],[AverageSales]]/store_performance[[#This Row],[AverageCustomers]],2)</f>
        <v>12.21</v>
      </c>
      <c r="E1113" t="str">
        <f>_xlfn.XLOOKUP(store_performance[[#This Row],[Store]],store_clean[Store],store_clean[StoreType],"Not Found")</f>
        <v>c</v>
      </c>
    </row>
    <row r="1114" spans="1:5" x14ac:dyDescent="0.2">
      <c r="A1114">
        <v>1113</v>
      </c>
      <c r="B1114" s="1">
        <v>6627.8596938775509</v>
      </c>
      <c r="C1114" s="1">
        <v>717.02933673469386</v>
      </c>
      <c r="D1114">
        <f>ROUND(store_performance[[#This Row],[AverageSales]]/store_performance[[#This Row],[AverageCustomers]],2)</f>
        <v>9.24</v>
      </c>
      <c r="E1114" t="str">
        <f>_xlfn.XLOOKUP(store_performance[[#This Row],[Store]],store_clean[Store],store_clean[StoreType],"Not Found")</f>
        <v>a</v>
      </c>
    </row>
    <row r="1115" spans="1:5" x14ac:dyDescent="0.2">
      <c r="A1115">
        <v>1114</v>
      </c>
      <c r="B1115" s="1">
        <v>20666.5625</v>
      </c>
      <c r="C1115" s="1">
        <v>3200.9464285714284</v>
      </c>
      <c r="D1115">
        <f>ROUND(store_performance[[#This Row],[AverageSales]]/store_performance[[#This Row],[AverageCustomers]],2)</f>
        <v>6.46</v>
      </c>
      <c r="E1115" t="str">
        <f>_xlfn.XLOOKUP(store_performance[[#This Row],[Store]],store_clean[Store],store_clean[StoreType],"Not Found")</f>
        <v>a</v>
      </c>
    </row>
    <row r="1116" spans="1:5" x14ac:dyDescent="0.2">
      <c r="A1116">
        <v>1115</v>
      </c>
      <c r="B1116" s="1">
        <v>6302.4699103713192</v>
      </c>
      <c r="C1116" s="1">
        <v>432.62996158770807</v>
      </c>
      <c r="D1116">
        <f>ROUND(store_performance[[#This Row],[AverageSales]]/store_performance[[#This Row],[AverageCustomers]],2)</f>
        <v>14.57</v>
      </c>
      <c r="E1116" t="str">
        <f>_xlfn.XLOOKUP(store_performance[[#This Row],[Store]],store_clean[Store],store_clean[StoreType],"Not Found")</f>
        <v>d</v>
      </c>
    </row>
  </sheetData>
  <conditionalFormatting sqref="D1:D11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87A4B-05F5-6540-A782-71ED8C4A1B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store_clean</vt:lpstr>
      <vt:lpstr>store_type_summary</vt:lpstr>
      <vt:lpstr>store_performance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Matthew</dc:creator>
  <cp:lastModifiedBy>Efe Matthew</cp:lastModifiedBy>
  <dcterms:created xsi:type="dcterms:W3CDTF">2026-09-01T01:11:47Z</dcterms:created>
  <dcterms:modified xsi:type="dcterms:W3CDTF">2026-09-09T10:16:51Z</dcterms:modified>
</cp:coreProperties>
</file>